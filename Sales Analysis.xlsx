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tables/table4.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6032becee25bd91f/Documents/My Data Sources/"/>
    </mc:Choice>
  </mc:AlternateContent>
  <xr:revisionPtr revIDLastSave="915" documentId="8_{63B529E4-D989-4854-A1E4-B643A3B8F923}" xr6:coauthVersionLast="47" xr6:coauthVersionMax="47" xr10:uidLastSave="{0EB7D4F0-FC88-4DAD-BDBA-5756283D940B}"/>
  <bookViews>
    <workbookView xWindow="-110" yWindow="-110" windowWidth="19420" windowHeight="11500" activeTab="3" xr2:uid="{1388D7C3-C8D5-4491-9B2D-1DBDA6818871}"/>
  </bookViews>
  <sheets>
    <sheet name="mon" sheetId="11" r:id="rId1"/>
    <sheet name="regoin" sheetId="3" r:id="rId2"/>
    <sheet name="Raw_Sales_Data" sheetId="2" state="hidden" r:id="rId3"/>
    <sheet name="Dashboard" sheetId="7" r:id="rId4"/>
  </sheets>
  <definedNames>
    <definedName name="_xlcn.WorksheetConnection_Book1.xlsxmon1" hidden="1">mon[]</definedName>
    <definedName name="_xlcn.WorksheetConnection_Book1Raw_Sales_Data__21" hidden="1">Raw_Sales_Data__2[]</definedName>
    <definedName name="_xlcn.WorksheetConnection_Book1Raw_Sales_Data1" hidden="1">Raw_Sales_Data[]</definedName>
    <definedName name="ExternalData_1" localSheetId="2" hidden="1">'Raw_Sales_Data'!$A$1:$J$105</definedName>
    <definedName name="ExternalData_2" localSheetId="1" hidden="1">regoin!$A$1:$B$5</definedName>
    <definedName name="ExternalData_4" localSheetId="0" hidden="1">mon!$A$1:$B$105</definedName>
    <definedName name="Slicer_Category_Type">#N/A</definedName>
    <definedName name="Slicer_Sales_Region1">#N/A</definedName>
  </definedNames>
  <calcPr calcId="191029"/>
  <pivotCaches>
    <pivotCache cacheId="1550" r:id="rId5"/>
    <pivotCache cacheId="1552" r:id="rId6"/>
    <pivotCache cacheId="1554" r:id="rId7"/>
    <pivotCache cacheId="1559" r:id="rId8"/>
    <pivotCache cacheId="1561" r:id="rId9"/>
    <pivotCache cacheId="1563" r:id="rId10"/>
    <pivotCache cacheId="1567" r:id="rId11"/>
    <pivotCache cacheId="1569" r:id="rId12"/>
    <pivotCache cacheId="1571" r:id="rId13"/>
    <pivotCache cacheId="1557" r:id="rId14"/>
    <pivotCache cacheId="1576" r:id="rId15"/>
  </pivotCaches>
  <extLst>
    <ext xmlns:x14="http://schemas.microsoft.com/office/spreadsheetml/2009/9/main" uri="{876F7934-8845-4945-9796-88D515C7AA90}">
      <x14:pivotCaches>
        <pivotCache cacheId="53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Sales_Data__2" name="Raw_Sales_Data__2" connection="WorksheetConnection_Book1!Raw_Sales_Data__2"/>
          <x15:modelTable id="Raw_Sales_Data" name="Raw_Sales_Data" connection="WorksheetConnection_Book1!Raw_Sales_Data"/>
          <x15:modelTable id="mon" name="mon" connection="WorksheetConnection_Book1.xlsx!mon"/>
        </x15:modelTables>
        <x15:modelRelationships>
          <x15:modelRelationship fromTable="Raw_Sales_Data" fromColumn="Sales_Region" toTable="Raw_Sales_Data__2" toColumn="Sales_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2" i="2" l="1"/>
  <c r="E109" i="2" s="1"/>
  <c r="E108" i="2"/>
  <c r="I107" i="2"/>
  <c r="C10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860F9-4494-4E16-88B4-5B34581D83C2}" keepAlive="1" name="Query - mon" description="Connection to the 'mon' query in the workbook." type="5" refreshedVersion="0" background="1" saveData="1">
    <dbPr connection="Provider=Microsoft.Mashup.OleDb.1;Data Source=$Workbook$;Location=mon;Extended Properties=&quot;&quot;" command="SELECT * FROM [mon]"/>
  </connection>
  <connection id="2" xr16:uid="{1715EC8E-49C8-4EB9-8794-11A327604C6E}" keepAlive="1" name="Query - mon1" description="Connection to the 'mon' query in the workbook." type="5" refreshedVersion="8" background="1" saveData="1">
    <dbPr connection="Provider=Microsoft.Mashup.OleDb.1;Data Source=$Workbook$;Location=mon;Extended Properties=&quot;&quot;" command="SELECT * FROM [mon]"/>
  </connection>
  <connection id="3" xr16:uid="{C373E1B0-6D1D-4A89-BB04-0CBAF0D1F506}" keepAlive="1" name="Query - Raw_Sales_Data" description="Connection to the 'Raw_Sales_Data' query in the workbook." type="5" refreshedVersion="8" background="1" saveData="1">
    <dbPr connection="Provider=Microsoft.Mashup.OleDb.1;Data Source=$Workbook$;Location=Raw_Sales_Data;Extended Properties=&quot;&quot;" command="SELECT * FROM [Raw_Sales_Data]"/>
  </connection>
  <connection id="4" xr16:uid="{73DB2A57-57FF-4201-B7DD-F4F5E8CC6C5C}" keepAlive="1" name="Query - Raw_Sales_Data (2)" description="Connection to the 'Raw_Sales_Data (2)' query in the workbook." type="5" refreshedVersion="8" background="1" saveData="1">
    <dbPr connection="Provider=Microsoft.Mashup.OleDb.1;Data Source=$Workbook$;Location=&quot;Raw_Sales_Data (2)&quot;;Extended Properties=&quot;&quot;" command="SELECT * FROM [Raw_Sales_Data (2)]"/>
  </connection>
  <connection id="5" xr16:uid="{FC00B3B0-7F48-42D6-91C5-41C772A36E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C0C82A3-EC56-4935-AA9E-6A7F07660F7C}" name="WorksheetConnection_Book1!Raw_Sales_Data" type="102" refreshedVersion="8" minRefreshableVersion="5" saveData="1">
    <extLst>
      <ext xmlns:x15="http://schemas.microsoft.com/office/spreadsheetml/2010/11/main" uri="{DE250136-89BD-433C-8126-D09CA5730AF9}">
        <x15:connection id="Raw_Sales_Data">
          <x15:rangePr sourceName="_xlcn.WorksheetConnection_Book1Raw_Sales_Data1"/>
        </x15:connection>
      </ext>
    </extLst>
  </connection>
  <connection id="7" xr16:uid="{E04D09C9-4BB5-4C3F-A4E6-05D175EE2D6A}" name="WorksheetConnection_Book1!Raw_Sales_Data__2" type="102" refreshedVersion="8" minRefreshableVersion="5" saveData="1">
    <extLst>
      <ext xmlns:x15="http://schemas.microsoft.com/office/spreadsheetml/2010/11/main" uri="{DE250136-89BD-433C-8126-D09CA5730AF9}">
        <x15:connection id="Raw_Sales_Data__2">
          <x15:rangePr sourceName="_xlcn.WorksheetConnection_Book1Raw_Sales_Data__21"/>
        </x15:connection>
      </ext>
    </extLst>
  </connection>
  <connection id="8" xr16:uid="{4C62708B-7452-44C2-88CA-EEAA83BF2538}" name="WorksheetConnection_Book1.xlsx!mon" type="102" refreshedVersion="8" minRefreshableVersion="5">
    <extLst>
      <ext xmlns:x15="http://schemas.microsoft.com/office/spreadsheetml/2010/11/main" uri="{DE250136-89BD-433C-8126-D09CA5730AF9}">
        <x15:connection id="mon">
          <x15:rangePr sourceName="_xlcn.WorksheetConnection_Book1.xlsxmon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<sst xmlns="http://schemas.openxmlformats.org/spreadsheetml/2006/main" count="795" uniqueCount="192">
  <si>
    <t>Order_ID</t>
  </si>
  <si>
    <t>Customer_Name</t>
  </si>
  <si>
    <t>Product_Item</t>
  </si>
  <si>
    <t>Category_Type</t>
  </si>
  <si>
    <t>Order Date</t>
  </si>
  <si>
    <t>Sales_Region</t>
  </si>
  <si>
    <t>Qty</t>
  </si>
  <si>
    <t>Unit_Price</t>
  </si>
  <si>
    <t>Total_Sales</t>
  </si>
  <si>
    <t>ORD-0001</t>
  </si>
  <si>
    <t>Jane Smith</t>
  </si>
  <si>
    <t>Wireless Mouse</t>
  </si>
  <si>
    <t>Electronics</t>
  </si>
  <si>
    <t>North</t>
  </si>
  <si>
    <t>ORD-0002</t>
  </si>
  <si>
    <t>Eve Brown</t>
  </si>
  <si>
    <t>Laptop Pro 15</t>
  </si>
  <si>
    <t>East</t>
  </si>
  <si>
    <t>ORD-0003</t>
  </si>
  <si>
    <t>Charlie Smith</t>
  </si>
  <si>
    <t>4K Monitor</t>
  </si>
  <si>
    <t>ORD-0004</t>
  </si>
  <si>
    <t>Eve Davis</t>
  </si>
  <si>
    <t>Accessories</t>
  </si>
  <si>
    <t>ORD-0005</t>
  </si>
  <si>
    <t>Charlie Brown</t>
  </si>
  <si>
    <t>ORD-0006</t>
  </si>
  <si>
    <t>Bob Davis</t>
  </si>
  <si>
    <t>ORD-0007</t>
  </si>
  <si>
    <t>Eve Moore</t>
  </si>
  <si>
    <t>ORD-0008</t>
  </si>
  <si>
    <t>Alice Doe</t>
  </si>
  <si>
    <t>Mechanical Keyboard</t>
  </si>
  <si>
    <t>ORD-0009</t>
  </si>
  <si>
    <t>South</t>
  </si>
  <si>
    <t>ORD-0010</t>
  </si>
  <si>
    <t>ORD-0011</t>
  </si>
  <si>
    <t>Bob Smith</t>
  </si>
  <si>
    <t>West</t>
  </si>
  <si>
    <t>ORD-0012</t>
  </si>
  <si>
    <t>Frank Wilson</t>
  </si>
  <si>
    <t>ORD-0013</t>
  </si>
  <si>
    <t>Jane Brown</t>
  </si>
  <si>
    <t>ORD-0014</t>
  </si>
  <si>
    <t>John Doe</t>
  </si>
  <si>
    <t>ORD-0015</t>
  </si>
  <si>
    <t>Charlie Wilson</t>
  </si>
  <si>
    <t>ORD-0016</t>
  </si>
  <si>
    <t>Alice Smith</t>
  </si>
  <si>
    <t>ORD-0017</t>
  </si>
  <si>
    <t>ORD-0018</t>
  </si>
  <si>
    <t>Jane Doe</t>
  </si>
  <si>
    <t>ORD-0019</t>
  </si>
  <si>
    <t>Charlie Doe</t>
  </si>
  <si>
    <t>ORD-0020</t>
  </si>
  <si>
    <t>ORD-0021</t>
  </si>
  <si>
    <t>John Miller</t>
  </si>
  <si>
    <t>ORD-0022</t>
  </si>
  <si>
    <t>Alice Brown</t>
  </si>
  <si>
    <t>ORD-0023</t>
  </si>
  <si>
    <t>Eve Smith</t>
  </si>
  <si>
    <t>ORD-0024</t>
  </si>
  <si>
    <t>Charlie Miller</t>
  </si>
  <si>
    <t>ORD-0025</t>
  </si>
  <si>
    <t>Jane Wilson</t>
  </si>
  <si>
    <t>ORD-0026</t>
  </si>
  <si>
    <t>Charlie Davis</t>
  </si>
  <si>
    <t>ORD-0027</t>
  </si>
  <si>
    <t>David Moore</t>
  </si>
  <si>
    <t>ORD-0028</t>
  </si>
  <si>
    <t>Bob Johnson</t>
  </si>
  <si>
    <t>ORD-0029</t>
  </si>
  <si>
    <t>ORD-0030</t>
  </si>
  <si>
    <t>ORD-0031</t>
  </si>
  <si>
    <t>ORD-0032</t>
  </si>
  <si>
    <t>Eve Wilson</t>
  </si>
  <si>
    <t>ORD-0033</t>
  </si>
  <si>
    <t>ORD-0034</t>
  </si>
  <si>
    <t>ORD-0035</t>
  </si>
  <si>
    <t>Frank Smith</t>
  </si>
  <si>
    <t>ORD-0036</t>
  </si>
  <si>
    <t>ORD-0037</t>
  </si>
  <si>
    <t>ORD-0038</t>
  </si>
  <si>
    <t>David Doe</t>
  </si>
  <si>
    <t>ORD-0039</t>
  </si>
  <si>
    <t>Frank Moore</t>
  </si>
  <si>
    <t>ORD-0040</t>
  </si>
  <si>
    <t>Alice Moore</t>
  </si>
  <si>
    <t>ORD-0041</t>
  </si>
  <si>
    <t>ORD-0042</t>
  </si>
  <si>
    <t>ORD-0043</t>
  </si>
  <si>
    <t>ORD-0044</t>
  </si>
  <si>
    <t>Charlie Moore</t>
  </si>
  <si>
    <t>ORD-0045</t>
  </si>
  <si>
    <t>ORD-0046</t>
  </si>
  <si>
    <t>ORD-0047</t>
  </si>
  <si>
    <t>ORD-0048</t>
  </si>
  <si>
    <t>ORD-0049</t>
  </si>
  <si>
    <t>John Davis</t>
  </si>
  <si>
    <t>ORD-0050</t>
  </si>
  <si>
    <t>Jane Moore</t>
  </si>
  <si>
    <t>ORD-0051</t>
  </si>
  <si>
    <t>John Moore</t>
  </si>
  <si>
    <t>ORD-0052</t>
  </si>
  <si>
    <t>ORD-0053</t>
  </si>
  <si>
    <t>ORD-0054</t>
  </si>
  <si>
    <t>ORD-0055</t>
  </si>
  <si>
    <t>Bob Wilson</t>
  </si>
  <si>
    <t>ORD-0056</t>
  </si>
  <si>
    <t>ORD-0057</t>
  </si>
  <si>
    <t>David Wilson</t>
  </si>
  <si>
    <t>ORD-0058</t>
  </si>
  <si>
    <t>ORD-0059</t>
  </si>
  <si>
    <t>ORD-0060</t>
  </si>
  <si>
    <t>Frank Davis</t>
  </si>
  <si>
    <t>ORD-0061</t>
  </si>
  <si>
    <t>David Davis</t>
  </si>
  <si>
    <t>ORD-0062</t>
  </si>
  <si>
    <t>Bob Miller</t>
  </si>
  <si>
    <t>ORD-0063</t>
  </si>
  <si>
    <t>ORD-0064</t>
  </si>
  <si>
    <t>ORD-0065</t>
  </si>
  <si>
    <t>ORD-0066</t>
  </si>
  <si>
    <t>ORD-0067</t>
  </si>
  <si>
    <t>ORD-0068</t>
  </si>
  <si>
    <t>Frank Doe</t>
  </si>
  <si>
    <t>ORD-0069</t>
  </si>
  <si>
    <t>David Johnson</t>
  </si>
  <si>
    <t>ORD-0070</t>
  </si>
  <si>
    <t>David Smith</t>
  </si>
  <si>
    <t>ORD-0071</t>
  </si>
  <si>
    <t>ORD-0072</t>
  </si>
  <si>
    <t>ORD-0073</t>
  </si>
  <si>
    <t>ORD-0074</t>
  </si>
  <si>
    <t>ORD-0075</t>
  </si>
  <si>
    <t>ORD-0076</t>
  </si>
  <si>
    <t>Alice Wilson</t>
  </si>
  <si>
    <t>ORD-0077</t>
  </si>
  <si>
    <t>Alice Johnson</t>
  </si>
  <si>
    <t>ORD-0078</t>
  </si>
  <si>
    <t>ORD-0079</t>
  </si>
  <si>
    <t>ORD-0080</t>
  </si>
  <si>
    <t>ORD-0081</t>
  </si>
  <si>
    <t>David Brown</t>
  </si>
  <si>
    <t>ORD-0082</t>
  </si>
  <si>
    <t>ORD-0083</t>
  </si>
  <si>
    <t>ORD-0084</t>
  </si>
  <si>
    <t>ORD-0085</t>
  </si>
  <si>
    <t>Alice Miller</t>
  </si>
  <si>
    <t>ORD-0086</t>
  </si>
  <si>
    <t>ORD-0087</t>
  </si>
  <si>
    <t>ORD-0088</t>
  </si>
  <si>
    <t>ORD-0089</t>
  </si>
  <si>
    <t>ORD-0090</t>
  </si>
  <si>
    <t>ORD-0091</t>
  </si>
  <si>
    <t>ORD-0092</t>
  </si>
  <si>
    <t>ORD-0093</t>
  </si>
  <si>
    <t>ORD-0094</t>
  </si>
  <si>
    <t>ORD-0095</t>
  </si>
  <si>
    <t>John Wilson</t>
  </si>
  <si>
    <t>ORD-0096</t>
  </si>
  <si>
    <t>ORD-0097</t>
  </si>
  <si>
    <t>ORD-0098</t>
  </si>
  <si>
    <t>ORD-0099</t>
  </si>
  <si>
    <t>ORD-0100</t>
  </si>
  <si>
    <t>ORD-0101</t>
  </si>
  <si>
    <t>David Miller</t>
  </si>
  <si>
    <t>ORD-0102</t>
  </si>
  <si>
    <t>Frank Brown</t>
  </si>
  <si>
    <t>ORD-0103</t>
  </si>
  <si>
    <t>ORD-0104</t>
  </si>
  <si>
    <t>Row Labels</t>
  </si>
  <si>
    <t>Grand Total</t>
  </si>
  <si>
    <t>Total_Revenue</t>
  </si>
  <si>
    <t>Sum of Total_Sales</t>
  </si>
  <si>
    <t>Sum of Unit_Price</t>
  </si>
  <si>
    <t>Sum of Qty</t>
  </si>
  <si>
    <t>avg</t>
  </si>
  <si>
    <t>Column1</t>
  </si>
  <si>
    <t>Month_name</t>
  </si>
  <si>
    <t>November</t>
  </si>
  <si>
    <t>December</t>
  </si>
  <si>
    <t>September</t>
  </si>
  <si>
    <t>June</t>
  </si>
  <si>
    <t>January</t>
  </si>
  <si>
    <t>April</t>
  </si>
  <si>
    <t>March</t>
  </si>
  <si>
    <t>July</t>
  </si>
  <si>
    <t>February</t>
  </si>
  <si>
    <t>May</t>
  </si>
  <si>
    <t>August</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</si>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</sst>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14" fontId="0" fillId="0" borderId="0" xfId="0" applyNumberFormat="1"/>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8">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3" defaultTableStyle="TableStyleMedium2" defaultPivotStyle="PivotStyleLight16">
    <tableStyle name="Slicer Style 1" pivot="0" table="0" count="0" xr9:uid="{AF8DF8BF-84AC-4DB1-B17A-9F3FB34F9D7C}"/>
    <tableStyle name="Slicer Style 2" pivot="0" table="0" count="0" xr9:uid="{61F67474-16F4-4716-B04F-CAA1D32F6C92}"/>
    <tableStyle name="Slicer Style 3" pivot="0" table="0" count="1" xr9:uid="{E57C766A-5A1C-4815-A730-CC37409CFA8A}"/>
  </tableStyles>
  <colors>
    <mruColors>
      <color rgb="FF4B1109"/>
      <color rgb="FF68170C"/>
      <color rgb="FF800000"/>
    </mruColors>
  </colors>
  <extLst>
    <ext xmlns:x14="http://schemas.microsoft.com/office/spreadsheetml/2009/9/main" uri="{46F421CA-312F-682f-3DD2-61675219B42D}">
      <x14:dxfs count="1">
        <dxf>
          <font>
            <b/>
            <i val="0"/>
            <sz val="11"/>
            <name val="Aptos Display"/>
            <family val="2"/>
            <scheme val="major"/>
          </font>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alcChain" Target="calcChain.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connections" Target="connections.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Analysis.xlsx]regoin!PivotTable4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110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regoin!$F$13</c:f>
              <c:strCache>
                <c:ptCount val="1"/>
                <c:pt idx="0">
                  <c:v>Total</c:v>
                </c:pt>
              </c:strCache>
            </c:strRef>
          </c:tx>
          <c:spPr>
            <a:solidFill>
              <a:srgbClr val="4B1109"/>
            </a:solidFill>
            <a:ln>
              <a:noFill/>
            </a:ln>
            <a:effectLst/>
            <a:sp3d/>
          </c:spPr>
          <c:invertIfNegative val="0"/>
          <c:cat>
            <c:strRef>
              <c:f>regoin!$E$14:$E$18</c:f>
              <c:strCache>
                <c:ptCount val="4"/>
                <c:pt idx="0">
                  <c:v>4K Monitor</c:v>
                </c:pt>
                <c:pt idx="1">
                  <c:v>Laptop Pro 15</c:v>
                </c:pt>
                <c:pt idx="2">
                  <c:v>Mechanical Keyboard</c:v>
                </c:pt>
                <c:pt idx="3">
                  <c:v>Wireless Mouse</c:v>
                </c:pt>
              </c:strCache>
            </c:strRef>
          </c:cat>
          <c:val>
            <c:numRef>
              <c:f>regoin!$F$14:$F$18</c:f>
              <c:numCache>
                <c:formatCode>General</c:formatCode>
                <c:ptCount val="4"/>
                <c:pt idx="0">
                  <c:v>357</c:v>
                </c:pt>
                <c:pt idx="1">
                  <c:v>1200</c:v>
                </c:pt>
                <c:pt idx="2">
                  <c:v>171</c:v>
                </c:pt>
                <c:pt idx="3">
                  <c:v>126</c:v>
                </c:pt>
              </c:numCache>
            </c:numRef>
          </c:val>
          <c:extLst>
            <c:ext xmlns:c16="http://schemas.microsoft.com/office/drawing/2014/chart" uri="{C3380CC4-5D6E-409C-BE32-E72D297353CC}">
              <c16:uniqueId val="{00000000-449A-49DB-AAB5-D029E627948A}"/>
            </c:ext>
          </c:extLst>
        </c:ser>
        <c:dLbls>
          <c:showLegendKey val="0"/>
          <c:showVal val="0"/>
          <c:showCatName val="0"/>
          <c:showSerName val="0"/>
          <c:showPercent val="0"/>
          <c:showBubbleSize val="0"/>
        </c:dLbls>
        <c:gapWidth val="150"/>
        <c:shape val="box"/>
        <c:axId val="1812762623"/>
        <c:axId val="2034144527"/>
        <c:axId val="0"/>
      </c:bar3DChart>
      <c:catAx>
        <c:axId val="181276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4144527"/>
        <c:crosses val="autoZero"/>
        <c:auto val="1"/>
        <c:lblAlgn val="ctr"/>
        <c:lblOffset val="100"/>
        <c:noMultiLvlLbl val="0"/>
      </c:catAx>
      <c:valAx>
        <c:axId val="203414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7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Analysis.xlsx]regoin!PivotTable7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Sales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110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regoin!$S$12</c:f>
              <c:strCache>
                <c:ptCount val="1"/>
                <c:pt idx="0">
                  <c:v>Total</c:v>
                </c:pt>
              </c:strCache>
            </c:strRef>
          </c:tx>
          <c:spPr>
            <a:solidFill>
              <a:srgbClr val="4B1109"/>
            </a:solidFill>
            <a:ln>
              <a:noFill/>
            </a:ln>
            <a:effectLst/>
            <a:sp3d/>
          </c:spPr>
          <c:cat>
            <c:strRef>
              <c:f>regoin!$R$13:$R$17</c:f>
              <c:strCache>
                <c:ptCount val="4"/>
                <c:pt idx="0">
                  <c:v>4K Monitor</c:v>
                </c:pt>
                <c:pt idx="1">
                  <c:v>Laptop Pro 15</c:v>
                </c:pt>
                <c:pt idx="2">
                  <c:v>Mechanical Keyboard</c:v>
                </c:pt>
                <c:pt idx="3">
                  <c:v>Wireless Mouse</c:v>
                </c:pt>
              </c:strCache>
            </c:strRef>
          </c:cat>
          <c:val>
            <c:numRef>
              <c:f>regoin!$S$13:$S$17</c:f>
              <c:numCache>
                <c:formatCode>General</c:formatCode>
                <c:ptCount val="4"/>
                <c:pt idx="0">
                  <c:v>1785</c:v>
                </c:pt>
                <c:pt idx="1">
                  <c:v>6000</c:v>
                </c:pt>
                <c:pt idx="2">
                  <c:v>639.5</c:v>
                </c:pt>
                <c:pt idx="3">
                  <c:v>122.4</c:v>
                </c:pt>
              </c:numCache>
            </c:numRef>
          </c:val>
          <c:extLst>
            <c:ext xmlns:c16="http://schemas.microsoft.com/office/drawing/2014/chart" uri="{C3380CC4-5D6E-409C-BE32-E72D297353CC}">
              <c16:uniqueId val="{00000000-7EB7-477B-8BB3-78CEB1744C6B}"/>
            </c:ext>
          </c:extLst>
        </c:ser>
        <c:dLbls>
          <c:showLegendKey val="0"/>
          <c:showVal val="0"/>
          <c:showCatName val="0"/>
          <c:showSerName val="0"/>
          <c:showPercent val="0"/>
          <c:showBubbleSize val="0"/>
        </c:dLbls>
        <c:axId val="2060664063"/>
        <c:axId val="2101676719"/>
        <c:axId val="1817110239"/>
      </c:area3DChart>
      <c:catAx>
        <c:axId val="206066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76719"/>
        <c:crosses val="autoZero"/>
        <c:auto val="1"/>
        <c:lblAlgn val="ctr"/>
        <c:lblOffset val="100"/>
        <c:noMultiLvlLbl val="0"/>
      </c:catAx>
      <c:valAx>
        <c:axId val="210167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664063"/>
        <c:crosses val="autoZero"/>
        <c:crossBetween val="midCat"/>
      </c:valAx>
      <c:serAx>
        <c:axId val="181711023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7671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Analysis.xlsx]regoin!PivotTable5</c:name>
    <c:fmtId val="29"/>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5">
              <a:shade val="76000"/>
            </a:schemeClr>
          </a:solidFill>
          <a:ln>
            <a:noFill/>
          </a:ln>
          <a:effectLst>
            <a:outerShdw blurRad="317500" algn="ctr" rotWithShape="0">
              <a:prstClr val="black">
                <a:alpha val="25000"/>
              </a:prstClr>
            </a:outerShdw>
          </a:effectLst>
        </c:spPr>
      </c:pivotFmt>
      <c:pivotFmt>
        <c:idx val="3"/>
        <c:spPr>
          <a:solidFill>
            <a:schemeClr val="accent5">
              <a:tint val="77000"/>
            </a:schemeClr>
          </a:solidFill>
          <a:ln>
            <a:noFill/>
          </a:ln>
          <a:effectLst>
            <a:outerShdw blurRad="317500" algn="ctr" rotWithShape="0">
              <a:prstClr val="black">
                <a:alpha val="25000"/>
              </a:prstClr>
            </a:outerShdw>
          </a:effectLst>
        </c:spPr>
      </c:pivotFmt>
      <c:pivotFmt>
        <c:idx val="4"/>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a:noFill/>
          </a:ln>
          <a:effectLst>
            <a:outerShdw blurRad="317500" algn="ctr" rotWithShape="0">
              <a:prstClr val="black">
                <a:alpha val="25000"/>
              </a:prstClr>
            </a:outerShdw>
          </a:effectLst>
        </c:spPr>
      </c:pivotFmt>
      <c:pivotFmt>
        <c:idx val="6"/>
        <c:spPr>
          <a:solidFill>
            <a:schemeClr val="accent5">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regoin!$K$21</c:f>
              <c:strCache>
                <c:ptCount val="1"/>
                <c:pt idx="0">
                  <c:v>Total</c:v>
                </c:pt>
              </c:strCache>
            </c:strRef>
          </c:tx>
          <c:dPt>
            <c:idx val="0"/>
            <c:bubble3D val="0"/>
            <c:spPr>
              <a:solidFill>
                <a:schemeClr val="accent5">
                  <a:shade val="76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regoin!$J$22:$J$23</c:f>
              <c:strCache>
                <c:ptCount val="1"/>
                <c:pt idx="0">
                  <c:v>Accessories</c:v>
                </c:pt>
              </c:strCache>
            </c:strRef>
          </c:cat>
          <c:val>
            <c:numRef>
              <c:f>regoin!$K$22:$K$23</c:f>
              <c:numCache>
                <c:formatCode>0.00</c:formatCode>
                <c:ptCount val="1"/>
                <c:pt idx="0">
                  <c:v>15676</c:v>
                </c:pt>
              </c:numCache>
            </c:numRef>
          </c:val>
          <c:extLst>
            <c:ext xmlns:c16="http://schemas.microsoft.com/office/drawing/2014/chart" uri="{C3380CC4-5D6E-409C-BE32-E72D297353CC}">
              <c16:uniqueId val="{00000004-478A-40B1-949B-02357346C18F}"/>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Analysis.xlsx]mon!PivotTable7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mon!$Q$6</c:f>
              <c:strCache>
                <c:ptCount val="1"/>
                <c:pt idx="0">
                  <c:v>Total</c:v>
                </c:pt>
              </c:strCache>
            </c:strRef>
          </c:tx>
          <c:spPr>
            <a:solidFill>
              <a:schemeClr val="accent5"/>
            </a:solidFill>
            <a:ln>
              <a:noFill/>
            </a:ln>
            <a:effectLst/>
            <a:sp3d/>
          </c:spPr>
          <c:invertIfNegative val="0"/>
          <c:cat>
            <c:strRef>
              <c:f>mon!$P$7:$P$19</c:f>
              <c:strCache>
                <c:ptCount val="12"/>
                <c:pt idx="0">
                  <c:v>December</c:v>
                </c:pt>
                <c:pt idx="1">
                  <c:v>June</c:v>
                </c:pt>
                <c:pt idx="2">
                  <c:v>August</c:v>
                </c:pt>
                <c:pt idx="3">
                  <c:v>April</c:v>
                </c:pt>
                <c:pt idx="4">
                  <c:v>March</c:v>
                </c:pt>
                <c:pt idx="5">
                  <c:v>November</c:v>
                </c:pt>
                <c:pt idx="6">
                  <c:v>July</c:v>
                </c:pt>
                <c:pt idx="7">
                  <c:v>February</c:v>
                </c:pt>
                <c:pt idx="8">
                  <c:v>January</c:v>
                </c:pt>
                <c:pt idx="9">
                  <c:v>May</c:v>
                </c:pt>
                <c:pt idx="10">
                  <c:v>October</c:v>
                </c:pt>
                <c:pt idx="11">
                  <c:v>September</c:v>
                </c:pt>
              </c:strCache>
            </c:strRef>
          </c:cat>
          <c:val>
            <c:numRef>
              <c:f>mon!$Q$7:$Q$19</c:f>
              <c:numCache>
                <c:formatCode>General</c:formatCode>
                <c:ptCount val="12"/>
                <c:pt idx="0">
                  <c:v>33864</c:v>
                </c:pt>
                <c:pt idx="1">
                  <c:v>28274</c:v>
                </c:pt>
                <c:pt idx="2">
                  <c:v>26449</c:v>
                </c:pt>
                <c:pt idx="3">
                  <c:v>26273</c:v>
                </c:pt>
                <c:pt idx="4">
                  <c:v>18454</c:v>
                </c:pt>
                <c:pt idx="5">
                  <c:v>17153</c:v>
                </c:pt>
                <c:pt idx="6">
                  <c:v>12271</c:v>
                </c:pt>
                <c:pt idx="7">
                  <c:v>11352</c:v>
                </c:pt>
                <c:pt idx="8">
                  <c:v>10041</c:v>
                </c:pt>
                <c:pt idx="9">
                  <c:v>8324</c:v>
                </c:pt>
                <c:pt idx="10">
                  <c:v>4459</c:v>
                </c:pt>
                <c:pt idx="11">
                  <c:v>2363</c:v>
                </c:pt>
              </c:numCache>
            </c:numRef>
          </c:val>
          <c:extLst>
            <c:ext xmlns:c16="http://schemas.microsoft.com/office/drawing/2014/chart" uri="{C3380CC4-5D6E-409C-BE32-E72D297353CC}">
              <c16:uniqueId val="{00000000-88D6-41B0-BD67-F837C51B751A}"/>
            </c:ext>
          </c:extLst>
        </c:ser>
        <c:dLbls>
          <c:showLegendKey val="0"/>
          <c:showVal val="0"/>
          <c:showCatName val="0"/>
          <c:showSerName val="0"/>
          <c:showPercent val="0"/>
          <c:showBubbleSize val="0"/>
        </c:dLbls>
        <c:gapWidth val="150"/>
        <c:shape val="box"/>
        <c:axId val="604140960"/>
        <c:axId val="1728368335"/>
        <c:axId val="0"/>
      </c:bar3DChart>
      <c:catAx>
        <c:axId val="60414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68335"/>
        <c:crosses val="autoZero"/>
        <c:auto val="1"/>
        <c:lblAlgn val="ctr"/>
        <c:lblOffset val="100"/>
        <c:noMultiLvlLbl val="0"/>
      </c:catAx>
      <c:valAx>
        <c:axId val="1728368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chart" Target="../charts/chart1.xml"/><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292768</xdr:colOff>
      <xdr:row>2</xdr:row>
      <xdr:rowOff>61828</xdr:rowOff>
    </xdr:from>
    <xdr:to>
      <xdr:col>4</xdr:col>
      <xdr:colOff>1249279</xdr:colOff>
      <xdr:row>16</xdr:row>
      <xdr:rowOff>103100</xdr:rowOff>
    </xdr:to>
    <mc:AlternateContent xmlns:mc="http://schemas.openxmlformats.org/markup-compatibility/2006">
      <mc:Choice xmlns:a14="http://schemas.microsoft.com/office/drawing/2010/main" Requires="a14">
        <xdr:graphicFrame macro="">
          <xdr:nvGraphicFramePr>
            <xdr:cNvPr id="2" name="Sales_Region">
              <a:extLst>
                <a:ext uri="{FF2B5EF4-FFF2-40B4-BE49-F238E27FC236}">
                  <a16:creationId xmlns:a16="http://schemas.microsoft.com/office/drawing/2014/main" id="{C2425F83-2B1D-0E3E-91ED-7CCF44803846}"/>
                </a:ext>
              </a:extLst>
            </xdr:cNvPr>
            <xdr:cNvGraphicFramePr/>
          </xdr:nvGraphicFramePr>
          <xdr:xfrm>
            <a:off x="0" y="0"/>
            <a:ext cx="0" cy="0"/>
          </xdr:xfrm>
          <a:graphic>
            <a:graphicData uri="http://schemas.microsoft.com/office/drawing/2010/slicer">
              <sle:slicer xmlns:sle="http://schemas.microsoft.com/office/drawing/2010/slicer" name="Sales_Region"/>
            </a:graphicData>
          </a:graphic>
        </xdr:graphicFrame>
      </mc:Choice>
      <mc:Fallback>
        <xdr:sp macro="" textlink="">
          <xdr:nvSpPr>
            <xdr:cNvPr id="0" name=""/>
            <xdr:cNvSpPr>
              <a:spLocks noTextEdit="1"/>
            </xdr:cNvSpPr>
          </xdr:nvSpPr>
          <xdr:spPr>
            <a:xfrm>
              <a:off x="2790992" y="429460"/>
              <a:ext cx="1825458" cy="2614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305468</xdr:colOff>
      <xdr:row>14</xdr:row>
      <xdr:rowOff>42779</xdr:rowOff>
    </xdr:from>
    <xdr:to>
      <xdr:col>23</xdr:col>
      <xdr:colOff>304465</xdr:colOff>
      <xdr:row>22</xdr:row>
      <xdr:rowOff>158750</xdr:rowOff>
    </xdr:to>
    <mc:AlternateContent xmlns:mc="http://schemas.openxmlformats.org/markup-compatibility/2006">
      <mc:Choice xmlns:a14="http://schemas.microsoft.com/office/drawing/2010/main" Requires="a14">
        <xdr:graphicFrame macro="">
          <xdr:nvGraphicFramePr>
            <xdr:cNvPr id="3" name="Sales_Region 1">
              <a:extLst>
                <a:ext uri="{FF2B5EF4-FFF2-40B4-BE49-F238E27FC236}">
                  <a16:creationId xmlns:a16="http://schemas.microsoft.com/office/drawing/2014/main" id="{4B243C22-2E67-EB39-3F2B-3951C46893D8}"/>
                </a:ext>
              </a:extLst>
            </xdr:cNvPr>
            <xdr:cNvGraphicFramePr/>
          </xdr:nvGraphicFramePr>
          <xdr:xfrm>
            <a:off x="0" y="0"/>
            <a:ext cx="0" cy="0"/>
          </xdr:xfrm>
          <a:graphic>
            <a:graphicData uri="http://schemas.microsoft.com/office/drawing/2010/slicer">
              <sle:slicer xmlns:sle="http://schemas.microsoft.com/office/drawing/2010/slicer" name="Sales_Region 1"/>
            </a:graphicData>
          </a:graphic>
        </xdr:graphicFrame>
      </mc:Choice>
      <mc:Fallback>
        <xdr:sp macro="" textlink="">
          <xdr:nvSpPr>
            <xdr:cNvPr id="0" name=""/>
            <xdr:cNvSpPr>
              <a:spLocks noTextEdit="1"/>
            </xdr:cNvSpPr>
          </xdr:nvSpPr>
          <xdr:spPr>
            <a:xfrm>
              <a:off x="16731915" y="2616200"/>
              <a:ext cx="1828800" cy="15864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306471</xdr:colOff>
      <xdr:row>14</xdr:row>
      <xdr:rowOff>42779</xdr:rowOff>
    </xdr:from>
    <xdr:to>
      <xdr:col>23</xdr:col>
      <xdr:colOff>305468</xdr:colOff>
      <xdr:row>28</xdr:row>
      <xdr:rowOff>88730</xdr:rowOff>
    </xdr:to>
    <mc:AlternateContent xmlns:mc="http://schemas.openxmlformats.org/markup-compatibility/2006">
      <mc:Choice xmlns:a14="http://schemas.microsoft.com/office/drawing/2010/main" Requires="a14">
        <xdr:graphicFrame macro="">
          <xdr:nvGraphicFramePr>
            <xdr:cNvPr id="4" name="Category_Type">
              <a:extLst>
                <a:ext uri="{FF2B5EF4-FFF2-40B4-BE49-F238E27FC236}">
                  <a16:creationId xmlns:a16="http://schemas.microsoft.com/office/drawing/2014/main" id="{8F81CBBF-BE8B-4276-6CC4-42DBB5336F50}"/>
                </a:ext>
              </a:extLst>
            </xdr:cNvPr>
            <xdr:cNvGraphicFramePr/>
          </xdr:nvGraphicFramePr>
          <xdr:xfrm>
            <a:off x="0" y="0"/>
            <a:ext cx="0" cy="0"/>
          </xdr:xfrm>
          <a:graphic>
            <a:graphicData uri="http://schemas.microsoft.com/office/drawing/2010/slicer">
              <sle:slicer xmlns:sle="http://schemas.microsoft.com/office/drawing/2010/slicer" name="Category_Type"/>
            </a:graphicData>
          </a:graphic>
        </xdr:graphicFrame>
      </mc:Choice>
      <mc:Fallback>
        <xdr:sp macro="" textlink="">
          <xdr:nvSpPr>
            <xdr:cNvPr id="0" name=""/>
            <xdr:cNvSpPr>
              <a:spLocks noTextEdit="1"/>
            </xdr:cNvSpPr>
          </xdr:nvSpPr>
          <xdr:spPr>
            <a:xfrm>
              <a:off x="16732918" y="261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513603</xdr:colOff>
      <xdr:row>19</xdr:row>
      <xdr:rowOff>37354</xdr:rowOff>
    </xdr:from>
    <xdr:to>
      <xdr:col>19</xdr:col>
      <xdr:colOff>326837</xdr:colOff>
      <xdr:row>33</xdr:row>
      <xdr:rowOff>158751</xdr:rowOff>
    </xdr:to>
    <xdr:sp macro="" textlink="">
      <xdr:nvSpPr>
        <xdr:cNvPr id="40" name="Rectangle: Rounded Corners 39">
          <a:extLst>
            <a:ext uri="{FF2B5EF4-FFF2-40B4-BE49-F238E27FC236}">
              <a16:creationId xmlns:a16="http://schemas.microsoft.com/office/drawing/2014/main" id="{257D887D-AF77-4840-8970-3494E9DC6AB6}"/>
            </a:ext>
          </a:extLst>
        </xdr:cNvPr>
        <xdr:cNvSpPr/>
      </xdr:nvSpPr>
      <xdr:spPr>
        <a:xfrm>
          <a:off x="7190441" y="3585883"/>
          <a:ext cx="4669117" cy="2736103"/>
        </a:xfrm>
        <a:prstGeom prst="roundRect">
          <a:avLst>
            <a:gd name="adj" fmla="val 7793"/>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504265</xdr:colOff>
      <xdr:row>0</xdr:row>
      <xdr:rowOff>130736</xdr:rowOff>
    </xdr:from>
    <xdr:to>
      <xdr:col>24</xdr:col>
      <xdr:colOff>464404</xdr:colOff>
      <xdr:row>35</xdr:row>
      <xdr:rowOff>84045</xdr:rowOff>
    </xdr:to>
    <xdr:sp macro="" textlink="">
      <xdr:nvSpPr>
        <xdr:cNvPr id="25" name="Rectangle 24">
          <a:extLst>
            <a:ext uri="{FF2B5EF4-FFF2-40B4-BE49-F238E27FC236}">
              <a16:creationId xmlns:a16="http://schemas.microsoft.com/office/drawing/2014/main" id="{E1164154-2EF9-5CE8-B5BC-525C87D83207}"/>
            </a:ext>
          </a:extLst>
        </xdr:cNvPr>
        <xdr:cNvSpPr/>
      </xdr:nvSpPr>
      <xdr:spPr>
        <a:xfrm>
          <a:off x="1110832" y="130736"/>
          <a:ext cx="13911184" cy="6255921"/>
        </a:xfrm>
        <a:prstGeom prst="rect">
          <a:avLst/>
        </a:prstGeom>
        <a:solidFill>
          <a:srgbClr val="4B1109"/>
        </a:solidFill>
        <a:ln>
          <a:solidFill>
            <a:srgbClr val="8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158750</xdr:colOff>
      <xdr:row>2</xdr:row>
      <xdr:rowOff>37353</xdr:rowOff>
    </xdr:from>
    <xdr:to>
      <xdr:col>7</xdr:col>
      <xdr:colOff>37353</xdr:colOff>
      <xdr:row>8</xdr:row>
      <xdr:rowOff>28014</xdr:rowOff>
    </xdr:to>
    <xdr:sp macro="" textlink="">
      <xdr:nvSpPr>
        <xdr:cNvPr id="26" name="Rectangle: Rounded Corners 25">
          <a:extLst>
            <a:ext uri="{FF2B5EF4-FFF2-40B4-BE49-F238E27FC236}">
              <a16:creationId xmlns:a16="http://schemas.microsoft.com/office/drawing/2014/main" id="{DFF92C85-B204-B9BA-BE74-95929CA55468}"/>
            </a:ext>
          </a:extLst>
        </xdr:cNvPr>
        <xdr:cNvSpPr/>
      </xdr:nvSpPr>
      <xdr:spPr>
        <a:xfrm>
          <a:off x="1372721" y="410882"/>
          <a:ext cx="2913529" cy="11112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r"/>
          <a:r>
            <a:rPr lang="en-US" sz="2800" b="1">
              <a:solidFill>
                <a:srgbClr val="4B1109"/>
              </a:solidFill>
            </a:rPr>
            <a:t>Total sales</a:t>
          </a:r>
          <a:endParaRPr lang="en-US" sz="1100" b="1" i="0" u="none" strike="noStrike">
            <a:solidFill>
              <a:schemeClr val="lt1"/>
            </a:solidFill>
            <a:effectLst/>
            <a:latin typeface="+mn-lt"/>
            <a:ea typeface="+mn-ea"/>
            <a:cs typeface="+mn-cs"/>
          </a:endParaRPr>
        </a:p>
        <a:p>
          <a:pPr lvl="0" algn="r"/>
          <a:r>
            <a:rPr lang="en-US" sz="2800">
              <a:solidFill>
                <a:srgbClr val="4B1109"/>
              </a:solidFill>
            </a:rPr>
            <a:t>$199,277</a:t>
          </a:r>
        </a:p>
      </xdr:txBody>
    </xdr:sp>
    <xdr:clientData/>
  </xdr:twoCellAnchor>
  <xdr:twoCellAnchor>
    <xdr:from>
      <xdr:col>2</xdr:col>
      <xdr:colOff>112059</xdr:colOff>
      <xdr:row>15</xdr:row>
      <xdr:rowOff>130735</xdr:rowOff>
    </xdr:from>
    <xdr:to>
      <xdr:col>6</xdr:col>
      <xdr:colOff>597647</xdr:colOff>
      <xdr:row>21</xdr:row>
      <xdr:rowOff>121397</xdr:rowOff>
    </xdr:to>
    <xdr:sp macro="" textlink="">
      <xdr:nvSpPr>
        <xdr:cNvPr id="27" name="Rectangle: Rounded Corners 26">
          <a:extLst>
            <a:ext uri="{FF2B5EF4-FFF2-40B4-BE49-F238E27FC236}">
              <a16:creationId xmlns:a16="http://schemas.microsoft.com/office/drawing/2014/main" id="{E12626A9-E94A-4EA0-8332-53ACDE35DB14}"/>
            </a:ext>
          </a:extLst>
        </xdr:cNvPr>
        <xdr:cNvSpPr/>
      </xdr:nvSpPr>
      <xdr:spPr>
        <a:xfrm>
          <a:off x="1326030" y="2932206"/>
          <a:ext cx="2913529" cy="11112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b="1">
              <a:solidFill>
                <a:srgbClr val="4B1109"/>
              </a:solidFill>
            </a:rPr>
            <a:t>Total orders</a:t>
          </a:r>
        </a:p>
        <a:p>
          <a:pPr algn="r"/>
          <a:r>
            <a:rPr lang="en-US" sz="2400" b="0">
              <a:solidFill>
                <a:srgbClr val="4B1109"/>
              </a:solidFill>
            </a:rPr>
            <a:t>104</a:t>
          </a:r>
        </a:p>
      </xdr:txBody>
    </xdr:sp>
    <xdr:clientData/>
  </xdr:twoCellAnchor>
  <xdr:twoCellAnchor>
    <xdr:from>
      <xdr:col>2</xdr:col>
      <xdr:colOff>140073</xdr:colOff>
      <xdr:row>8</xdr:row>
      <xdr:rowOff>140074</xdr:rowOff>
    </xdr:from>
    <xdr:to>
      <xdr:col>7</xdr:col>
      <xdr:colOff>18676</xdr:colOff>
      <xdr:row>14</xdr:row>
      <xdr:rowOff>130736</xdr:rowOff>
    </xdr:to>
    <xdr:sp macro="" textlink="">
      <xdr:nvSpPr>
        <xdr:cNvPr id="28" name="Rectangle: Rounded Corners 27">
          <a:extLst>
            <a:ext uri="{FF2B5EF4-FFF2-40B4-BE49-F238E27FC236}">
              <a16:creationId xmlns:a16="http://schemas.microsoft.com/office/drawing/2014/main" id="{E7AC5CD2-6D3D-4383-81BC-B9CD3C0160BA}"/>
            </a:ext>
          </a:extLst>
        </xdr:cNvPr>
        <xdr:cNvSpPr/>
      </xdr:nvSpPr>
      <xdr:spPr>
        <a:xfrm>
          <a:off x="1354044" y="1634192"/>
          <a:ext cx="2913529" cy="111125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400" b="1">
              <a:solidFill>
                <a:srgbClr val="4B1109"/>
              </a:solidFill>
            </a:rPr>
            <a:t>Total</a:t>
          </a:r>
          <a:r>
            <a:rPr lang="en-US" sz="2400">
              <a:solidFill>
                <a:srgbClr val="4B1109"/>
              </a:solidFill>
            </a:rPr>
            <a:t> </a:t>
          </a:r>
          <a:r>
            <a:rPr lang="en-US" sz="2400" b="1">
              <a:solidFill>
                <a:srgbClr val="4B1109"/>
              </a:solidFill>
            </a:rPr>
            <a:t>Quantity</a:t>
          </a:r>
        </a:p>
        <a:p>
          <a:pPr algn="r"/>
          <a:r>
            <a:rPr lang="en-US" sz="2400" b="0">
              <a:solidFill>
                <a:srgbClr val="4B1109"/>
              </a:solidFill>
            </a:rPr>
            <a:t>513</a:t>
          </a:r>
        </a:p>
      </xdr:txBody>
    </xdr:sp>
    <xdr:clientData/>
  </xdr:twoCellAnchor>
  <xdr:twoCellAnchor editAs="oneCell">
    <xdr:from>
      <xdr:col>2</xdr:col>
      <xdr:colOff>364189</xdr:colOff>
      <xdr:row>2</xdr:row>
      <xdr:rowOff>62699</xdr:rowOff>
    </xdr:from>
    <xdr:to>
      <xdr:col>3</xdr:col>
      <xdr:colOff>560293</xdr:colOff>
      <xdr:row>7</xdr:row>
      <xdr:rowOff>28014</xdr:rowOff>
    </xdr:to>
    <xdr:pic>
      <xdr:nvPicPr>
        <xdr:cNvPr id="29" name="Picture 28">
          <a:extLst>
            <a:ext uri="{FF2B5EF4-FFF2-40B4-BE49-F238E27FC236}">
              <a16:creationId xmlns:a16="http://schemas.microsoft.com/office/drawing/2014/main" id="{9A317DC4-0A74-62E5-CDFA-9A548F7D7EAD}"/>
            </a:ext>
          </a:extLst>
        </xdr:cNvPr>
        <xdr:cNvPicPr>
          <a:picLocks noChangeAspect="1"/>
        </xdr:cNvPicPr>
      </xdr:nvPicPr>
      <xdr:blipFill>
        <a:blip xmlns:r="http://schemas.openxmlformats.org/officeDocument/2006/relationships" r:embed="rId1"/>
        <a:stretch>
          <a:fillRect/>
        </a:stretch>
      </xdr:blipFill>
      <xdr:spPr>
        <a:xfrm>
          <a:off x="1578160" y="436228"/>
          <a:ext cx="803089" cy="899139"/>
        </a:xfrm>
        <a:prstGeom prst="rect">
          <a:avLst/>
        </a:prstGeom>
      </xdr:spPr>
    </xdr:pic>
    <xdr:clientData/>
  </xdr:twoCellAnchor>
  <xdr:twoCellAnchor editAs="oneCell">
    <xdr:from>
      <xdr:col>2</xdr:col>
      <xdr:colOff>270806</xdr:colOff>
      <xdr:row>9</xdr:row>
      <xdr:rowOff>56031</xdr:rowOff>
    </xdr:from>
    <xdr:to>
      <xdr:col>3</xdr:col>
      <xdr:colOff>494924</xdr:colOff>
      <xdr:row>14</xdr:row>
      <xdr:rowOff>90338</xdr:rowOff>
    </xdr:to>
    <xdr:pic>
      <xdr:nvPicPr>
        <xdr:cNvPr id="30" name="Picture 29">
          <a:extLst>
            <a:ext uri="{FF2B5EF4-FFF2-40B4-BE49-F238E27FC236}">
              <a16:creationId xmlns:a16="http://schemas.microsoft.com/office/drawing/2014/main" id="{062C04DA-3EAC-3473-65D7-C64C1799D184}"/>
            </a:ext>
          </a:extLst>
        </xdr:cNvPr>
        <xdr:cNvPicPr>
          <a:picLocks noChangeAspect="1"/>
        </xdr:cNvPicPr>
      </xdr:nvPicPr>
      <xdr:blipFill>
        <a:blip xmlns:r="http://schemas.openxmlformats.org/officeDocument/2006/relationships" r:embed="rId2"/>
        <a:stretch>
          <a:fillRect/>
        </a:stretch>
      </xdr:blipFill>
      <xdr:spPr>
        <a:xfrm>
          <a:off x="1484777" y="1736913"/>
          <a:ext cx="831103" cy="968131"/>
        </a:xfrm>
        <a:prstGeom prst="rect">
          <a:avLst/>
        </a:prstGeom>
      </xdr:spPr>
    </xdr:pic>
    <xdr:clientData/>
  </xdr:twoCellAnchor>
  <xdr:twoCellAnchor editAs="oneCell">
    <xdr:from>
      <xdr:col>2</xdr:col>
      <xdr:colOff>261472</xdr:colOff>
      <xdr:row>16</xdr:row>
      <xdr:rowOff>0</xdr:rowOff>
    </xdr:from>
    <xdr:to>
      <xdr:col>3</xdr:col>
      <xdr:colOff>597647</xdr:colOff>
      <xdr:row>21</xdr:row>
      <xdr:rowOff>19229</xdr:rowOff>
    </xdr:to>
    <xdr:pic>
      <xdr:nvPicPr>
        <xdr:cNvPr id="32" name="Picture 31">
          <a:extLst>
            <a:ext uri="{FF2B5EF4-FFF2-40B4-BE49-F238E27FC236}">
              <a16:creationId xmlns:a16="http://schemas.microsoft.com/office/drawing/2014/main" id="{7D1B75E3-BCE7-0067-E27F-478E08F02A3B}"/>
            </a:ext>
          </a:extLst>
        </xdr:cNvPr>
        <xdr:cNvPicPr>
          <a:picLocks noChangeAspect="1"/>
        </xdr:cNvPicPr>
      </xdr:nvPicPr>
      <xdr:blipFill>
        <a:blip xmlns:r="http://schemas.openxmlformats.org/officeDocument/2006/relationships" r:embed="rId3"/>
        <a:stretch>
          <a:fillRect/>
        </a:stretch>
      </xdr:blipFill>
      <xdr:spPr>
        <a:xfrm>
          <a:off x="1475443" y="2988235"/>
          <a:ext cx="943160" cy="953053"/>
        </a:xfrm>
        <a:prstGeom prst="rect">
          <a:avLst/>
        </a:prstGeom>
      </xdr:spPr>
    </xdr:pic>
    <xdr:clientData/>
  </xdr:twoCellAnchor>
  <xdr:twoCellAnchor>
    <xdr:from>
      <xdr:col>7</xdr:col>
      <xdr:colOff>140074</xdr:colOff>
      <xdr:row>2</xdr:row>
      <xdr:rowOff>56030</xdr:rowOff>
    </xdr:from>
    <xdr:to>
      <xdr:col>14</xdr:col>
      <xdr:colOff>560294</xdr:colOff>
      <xdr:row>16</xdr:row>
      <xdr:rowOff>177427</xdr:rowOff>
    </xdr:to>
    <xdr:sp macro="" textlink="">
      <xdr:nvSpPr>
        <xdr:cNvPr id="34" name="Rectangle: Rounded Corners 33">
          <a:extLst>
            <a:ext uri="{FF2B5EF4-FFF2-40B4-BE49-F238E27FC236}">
              <a16:creationId xmlns:a16="http://schemas.microsoft.com/office/drawing/2014/main" id="{8A6D0CF3-F398-98DD-0DFB-EC1B11A50F08}"/>
            </a:ext>
          </a:extLst>
        </xdr:cNvPr>
        <xdr:cNvSpPr/>
      </xdr:nvSpPr>
      <xdr:spPr>
        <a:xfrm>
          <a:off x="4388971" y="429559"/>
          <a:ext cx="4669117" cy="2736103"/>
        </a:xfrm>
        <a:prstGeom prst="roundRect">
          <a:avLst>
            <a:gd name="adj" fmla="val 7793"/>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326838</xdr:colOff>
      <xdr:row>3</xdr:row>
      <xdr:rowOff>1</xdr:rowOff>
    </xdr:from>
    <xdr:to>
      <xdr:col>14</xdr:col>
      <xdr:colOff>410882</xdr:colOff>
      <xdr:row>16</xdr:row>
      <xdr:rowOff>37354</xdr:rowOff>
    </xdr:to>
    <xdr:graphicFrame macro="">
      <xdr:nvGraphicFramePr>
        <xdr:cNvPr id="33" name="Chart 32">
          <a:extLst>
            <a:ext uri="{FF2B5EF4-FFF2-40B4-BE49-F238E27FC236}">
              <a16:creationId xmlns:a16="http://schemas.microsoft.com/office/drawing/2014/main" id="{2FC45998-09F6-4EC8-98AB-7E153BB3F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37352</xdr:colOff>
      <xdr:row>2</xdr:row>
      <xdr:rowOff>46691</xdr:rowOff>
    </xdr:from>
    <xdr:to>
      <xdr:col>19</xdr:col>
      <xdr:colOff>289483</xdr:colOff>
      <xdr:row>17</xdr:row>
      <xdr:rowOff>28013</xdr:rowOff>
    </xdr:to>
    <xdr:sp macro="" textlink="">
      <xdr:nvSpPr>
        <xdr:cNvPr id="36" name="Rectangle: Rounded Corners 35">
          <a:extLst>
            <a:ext uri="{FF2B5EF4-FFF2-40B4-BE49-F238E27FC236}">
              <a16:creationId xmlns:a16="http://schemas.microsoft.com/office/drawing/2014/main" id="{AD0AB0DF-D957-875B-3876-36FD5339D007}"/>
            </a:ext>
          </a:extLst>
        </xdr:cNvPr>
        <xdr:cNvSpPr/>
      </xdr:nvSpPr>
      <xdr:spPr>
        <a:xfrm>
          <a:off x="9142131" y="420220"/>
          <a:ext cx="2680073" cy="2782793"/>
        </a:xfrm>
        <a:prstGeom prst="roundRect">
          <a:avLst>
            <a:gd name="adj" fmla="val 1144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102719</xdr:colOff>
      <xdr:row>22</xdr:row>
      <xdr:rowOff>28014</xdr:rowOff>
    </xdr:from>
    <xdr:to>
      <xdr:col>7</xdr:col>
      <xdr:colOff>18676</xdr:colOff>
      <xdr:row>34</xdr:row>
      <xdr:rowOff>149412</xdr:rowOff>
    </xdr:to>
    <xdr:sp macro="" textlink="">
      <xdr:nvSpPr>
        <xdr:cNvPr id="37" name="Rectangle: Rounded Corners 36">
          <a:extLst>
            <a:ext uri="{FF2B5EF4-FFF2-40B4-BE49-F238E27FC236}">
              <a16:creationId xmlns:a16="http://schemas.microsoft.com/office/drawing/2014/main" id="{1FBE2DB3-E4FF-5846-7BA6-227D2D65B8C1}"/>
            </a:ext>
          </a:extLst>
        </xdr:cNvPr>
        <xdr:cNvSpPr/>
      </xdr:nvSpPr>
      <xdr:spPr>
        <a:xfrm>
          <a:off x="1316690" y="4136838"/>
          <a:ext cx="2950883" cy="2362574"/>
        </a:xfrm>
        <a:prstGeom prst="roundRect">
          <a:avLst>
            <a:gd name="adj" fmla="val 6786"/>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3600" b="1">
              <a:solidFill>
                <a:srgbClr val="4B1109"/>
              </a:solidFill>
            </a:rPr>
            <a:t>Sales Performance &amp; Insights</a:t>
          </a:r>
        </a:p>
        <a:p>
          <a:pPr algn="l"/>
          <a:r>
            <a:rPr lang="en-US" sz="1600" b="1">
              <a:solidFill>
                <a:srgbClr val="4B1109"/>
              </a:solidFill>
            </a:rPr>
            <a:t>- </a:t>
          </a:r>
          <a:r>
            <a:rPr lang="en-US" sz="1600"/>
            <a:t>Sales Performance</a:t>
          </a:r>
        </a:p>
        <a:p>
          <a:pPr algn="l"/>
          <a:r>
            <a:rPr lang="en-US" sz="1600"/>
            <a:t>Dashboard</a:t>
          </a:r>
          <a:endParaRPr lang="en-US" sz="1600" b="1">
            <a:solidFill>
              <a:srgbClr val="4B1109"/>
            </a:solidFill>
          </a:endParaRPr>
        </a:p>
      </xdr:txBody>
    </xdr:sp>
    <xdr:clientData/>
  </xdr:twoCellAnchor>
  <xdr:twoCellAnchor editAs="oneCell">
    <xdr:from>
      <xdr:col>5</xdr:col>
      <xdr:colOff>327837</xdr:colOff>
      <xdr:row>28</xdr:row>
      <xdr:rowOff>177425</xdr:rowOff>
    </xdr:from>
    <xdr:to>
      <xdr:col>6</xdr:col>
      <xdr:colOff>535879</xdr:colOff>
      <xdr:row>33</xdr:row>
      <xdr:rowOff>46691</xdr:rowOff>
    </xdr:to>
    <xdr:pic>
      <xdr:nvPicPr>
        <xdr:cNvPr id="38" name="Picture 37">
          <a:extLst>
            <a:ext uri="{FF2B5EF4-FFF2-40B4-BE49-F238E27FC236}">
              <a16:creationId xmlns:a16="http://schemas.microsoft.com/office/drawing/2014/main" id="{B3585A75-16DE-EEE1-EA6E-B945201FCA14}"/>
            </a:ext>
          </a:extLst>
        </xdr:cNvPr>
        <xdr:cNvPicPr>
          <a:picLocks noChangeAspect="1"/>
        </xdr:cNvPicPr>
      </xdr:nvPicPr>
      <xdr:blipFill>
        <a:blip xmlns:r="http://schemas.openxmlformats.org/officeDocument/2006/relationships" r:embed="rId5"/>
        <a:stretch>
          <a:fillRect/>
        </a:stretch>
      </xdr:blipFill>
      <xdr:spPr>
        <a:xfrm>
          <a:off x="3362763" y="5406837"/>
          <a:ext cx="815028" cy="803089"/>
        </a:xfrm>
        <a:prstGeom prst="rect">
          <a:avLst/>
        </a:prstGeom>
      </xdr:spPr>
    </xdr:pic>
    <xdr:clientData/>
  </xdr:twoCellAnchor>
  <xdr:twoCellAnchor>
    <xdr:from>
      <xdr:col>11</xdr:col>
      <xdr:colOff>550957</xdr:colOff>
      <xdr:row>17</xdr:row>
      <xdr:rowOff>140074</xdr:rowOff>
    </xdr:from>
    <xdr:to>
      <xdr:col>19</xdr:col>
      <xdr:colOff>308162</xdr:colOff>
      <xdr:row>35</xdr:row>
      <xdr:rowOff>18955</xdr:rowOff>
    </xdr:to>
    <xdr:sp macro="" textlink="">
      <xdr:nvSpPr>
        <xdr:cNvPr id="41" name="Rectangle: Rounded Corners 40">
          <a:extLst>
            <a:ext uri="{FF2B5EF4-FFF2-40B4-BE49-F238E27FC236}">
              <a16:creationId xmlns:a16="http://schemas.microsoft.com/office/drawing/2014/main" id="{C49E294F-FC9F-BAAB-4236-64089E8AD203}"/>
            </a:ext>
          </a:extLst>
        </xdr:cNvPr>
        <xdr:cNvSpPr/>
      </xdr:nvSpPr>
      <xdr:spPr>
        <a:xfrm>
          <a:off x="7223196" y="3201343"/>
          <a:ext cx="4609742" cy="3120224"/>
        </a:xfrm>
        <a:prstGeom prst="roundRect">
          <a:avLst>
            <a:gd name="adj" fmla="val 6219"/>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74706</xdr:colOff>
      <xdr:row>18</xdr:row>
      <xdr:rowOff>177426</xdr:rowOff>
    </xdr:from>
    <xdr:to>
      <xdr:col>19</xdr:col>
      <xdr:colOff>224117</xdr:colOff>
      <xdr:row>32</xdr:row>
      <xdr:rowOff>119156</xdr:rowOff>
    </xdr:to>
    <xdr:graphicFrame macro="">
      <xdr:nvGraphicFramePr>
        <xdr:cNvPr id="42" name="Chart 41">
          <a:extLst>
            <a:ext uri="{FF2B5EF4-FFF2-40B4-BE49-F238E27FC236}">
              <a16:creationId xmlns:a16="http://schemas.microsoft.com/office/drawing/2014/main" id="{CDF1A32E-A27D-4065-B244-49B35EAD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121398</xdr:colOff>
      <xdr:row>17</xdr:row>
      <xdr:rowOff>112059</xdr:rowOff>
    </xdr:from>
    <xdr:to>
      <xdr:col>11</xdr:col>
      <xdr:colOff>429559</xdr:colOff>
      <xdr:row>34</xdr:row>
      <xdr:rowOff>177426</xdr:rowOff>
    </xdr:to>
    <xdr:sp macro="" textlink="">
      <xdr:nvSpPr>
        <xdr:cNvPr id="43" name="Rectangle: Rounded Corners 42">
          <a:extLst>
            <a:ext uri="{FF2B5EF4-FFF2-40B4-BE49-F238E27FC236}">
              <a16:creationId xmlns:a16="http://schemas.microsoft.com/office/drawing/2014/main" id="{DFC28613-DE46-8691-1788-ACD66CE94880}"/>
            </a:ext>
          </a:extLst>
        </xdr:cNvPr>
        <xdr:cNvSpPr/>
      </xdr:nvSpPr>
      <xdr:spPr>
        <a:xfrm>
          <a:off x="4370295" y="3287059"/>
          <a:ext cx="2736102" cy="3240367"/>
        </a:xfrm>
        <a:prstGeom prst="roundRect">
          <a:avLst>
            <a:gd name="adj" fmla="val 7793"/>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325244</xdr:colOff>
      <xdr:row>19</xdr:row>
      <xdr:rowOff>30975</xdr:rowOff>
    </xdr:from>
    <xdr:to>
      <xdr:col>11</xdr:col>
      <xdr:colOff>232317</xdr:colOff>
      <xdr:row>33</xdr:row>
      <xdr:rowOff>77439</xdr:rowOff>
    </xdr:to>
    <xdr:graphicFrame macro="">
      <xdr:nvGraphicFramePr>
        <xdr:cNvPr id="46" name="Chart 45">
          <a:extLst>
            <a:ext uri="{FF2B5EF4-FFF2-40B4-BE49-F238E27FC236}">
              <a16:creationId xmlns:a16="http://schemas.microsoft.com/office/drawing/2014/main" id="{6C551D8B-9D1A-42C8-B956-ADA054421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453253</xdr:colOff>
      <xdr:row>25</xdr:row>
      <xdr:rowOff>161120</xdr:rowOff>
    </xdr:from>
    <xdr:to>
      <xdr:col>24</xdr:col>
      <xdr:colOff>332274</xdr:colOff>
      <xdr:row>34</xdr:row>
      <xdr:rowOff>170597</xdr:rowOff>
    </xdr:to>
    <xdr:sp macro="" textlink="">
      <xdr:nvSpPr>
        <xdr:cNvPr id="13" name="Rectangle: Rounded Corners 12">
          <a:extLst>
            <a:ext uri="{FF2B5EF4-FFF2-40B4-BE49-F238E27FC236}">
              <a16:creationId xmlns:a16="http://schemas.microsoft.com/office/drawing/2014/main" id="{67618852-C4AA-AAAF-92BC-DB5E9762E7C9}"/>
            </a:ext>
          </a:extLst>
        </xdr:cNvPr>
        <xdr:cNvSpPr/>
      </xdr:nvSpPr>
      <xdr:spPr>
        <a:xfrm>
          <a:off x="11978029" y="4662986"/>
          <a:ext cx="2911857" cy="163014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400" b="0">
            <a:solidFill>
              <a:srgbClr val="4B1109"/>
            </a:solidFill>
          </a:endParaRPr>
        </a:p>
      </xdr:txBody>
    </xdr:sp>
    <xdr:clientData/>
  </xdr:twoCellAnchor>
  <xdr:twoCellAnchor editAs="oneCell">
    <xdr:from>
      <xdr:col>20</xdr:col>
      <xdr:colOff>56866</xdr:colOff>
      <xdr:row>26</xdr:row>
      <xdr:rowOff>94776</xdr:rowOff>
    </xdr:from>
    <xdr:to>
      <xdr:col>24</xdr:col>
      <xdr:colOff>142164</xdr:colOff>
      <xdr:row>34</xdr:row>
      <xdr:rowOff>47388</xdr:rowOff>
    </xdr:to>
    <mc:AlternateContent xmlns:mc="http://schemas.openxmlformats.org/markup-compatibility/2006">
      <mc:Choice xmlns:a14="http://schemas.microsoft.com/office/drawing/2010/main" Requires="a14">
        <xdr:graphicFrame macro="">
          <xdr:nvGraphicFramePr>
            <xdr:cNvPr id="14" name="Category_Type 1">
              <a:extLst>
                <a:ext uri="{FF2B5EF4-FFF2-40B4-BE49-F238E27FC236}">
                  <a16:creationId xmlns:a16="http://schemas.microsoft.com/office/drawing/2014/main" id="{6B6A05C6-8864-453E-BB0B-AC619932D076}"/>
                </a:ext>
              </a:extLst>
            </xdr:cNvPr>
            <xdr:cNvGraphicFramePr/>
          </xdr:nvGraphicFramePr>
          <xdr:xfrm>
            <a:off x="0" y="0"/>
            <a:ext cx="0" cy="0"/>
          </xdr:xfrm>
          <a:graphic>
            <a:graphicData uri="http://schemas.microsoft.com/office/drawing/2010/slicer">
              <sle:slicer xmlns:sle="http://schemas.microsoft.com/office/drawing/2010/slicer" name="Category_Type 1"/>
            </a:graphicData>
          </a:graphic>
        </xdr:graphicFrame>
      </mc:Choice>
      <mc:Fallback>
        <xdr:sp macro="" textlink="">
          <xdr:nvSpPr>
            <xdr:cNvPr id="0" name=""/>
            <xdr:cNvSpPr>
              <a:spLocks noTextEdit="1"/>
            </xdr:cNvSpPr>
          </xdr:nvSpPr>
          <xdr:spPr>
            <a:xfrm>
              <a:off x="12196572" y="4950658"/>
              <a:ext cx="2513239" cy="1446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462034</xdr:colOff>
      <xdr:row>19</xdr:row>
      <xdr:rowOff>18397</xdr:rowOff>
    </xdr:from>
    <xdr:to>
      <xdr:col>24</xdr:col>
      <xdr:colOff>340637</xdr:colOff>
      <xdr:row>25</xdr:row>
      <xdr:rowOff>9058</xdr:rowOff>
    </xdr:to>
    <xdr:sp macro="" textlink="">
      <xdr:nvSpPr>
        <xdr:cNvPr id="15" name="Rectangle: Rounded Corners 14">
          <a:extLst>
            <a:ext uri="{FF2B5EF4-FFF2-40B4-BE49-F238E27FC236}">
              <a16:creationId xmlns:a16="http://schemas.microsoft.com/office/drawing/2014/main" id="{311178D5-0BC4-E0EE-4E3A-D6ED00D4C59C}"/>
            </a:ext>
          </a:extLst>
        </xdr:cNvPr>
        <xdr:cNvSpPr/>
      </xdr:nvSpPr>
      <xdr:spPr>
        <a:xfrm>
          <a:off x="11986810" y="3439815"/>
          <a:ext cx="2911439" cy="107110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2800" b="1">
              <a:solidFill>
                <a:srgbClr val="4B1109"/>
              </a:solidFill>
            </a:rPr>
            <a:t>Top</a:t>
          </a:r>
          <a:r>
            <a:rPr lang="en-US" sz="2800" b="1" baseline="0">
              <a:solidFill>
                <a:srgbClr val="4B1109"/>
              </a:solidFill>
            </a:rPr>
            <a:t> Month</a:t>
          </a:r>
        </a:p>
        <a:p>
          <a:pPr lvl="0" algn="r"/>
          <a:r>
            <a:rPr lang="en-US" sz="1100" b="0" i="0" u="none" strike="noStrike">
              <a:solidFill>
                <a:schemeClr val="lt1"/>
              </a:solidFill>
              <a:effectLst/>
              <a:latin typeface="+mn-lt"/>
              <a:ea typeface="+mn-ea"/>
              <a:cs typeface="+mn-cs"/>
            </a:rPr>
            <a:t>December</a:t>
          </a:r>
          <a:r>
            <a:rPr lang="en-US" sz="2800">
              <a:effectLst/>
            </a:rPr>
            <a:t> </a:t>
          </a:r>
          <a:r>
            <a:rPr lang="en-US" sz="2800" b="0" i="0" u="none" strike="noStrike">
              <a:solidFill>
                <a:srgbClr val="4B1109"/>
              </a:solidFill>
              <a:effectLst/>
              <a:latin typeface="Aptos Narrow" panose="020B0004020202020204" pitchFamily="34" charset="0"/>
            </a:rPr>
            <a:t>December</a:t>
          </a:r>
          <a:r>
            <a:rPr lang="en-US" sz="2800">
              <a:effectLst/>
            </a:rPr>
            <a:t> </a:t>
          </a:r>
          <a:endParaRPr lang="en-US" sz="2800" b="1">
            <a:solidFill>
              <a:srgbClr val="4B1109"/>
            </a:solidFill>
          </a:endParaRPr>
        </a:p>
      </xdr:txBody>
    </xdr:sp>
    <xdr:clientData/>
  </xdr:twoCellAnchor>
  <xdr:twoCellAnchor>
    <xdr:from>
      <xdr:col>19</xdr:col>
      <xdr:colOff>464404</xdr:colOff>
      <xdr:row>12</xdr:row>
      <xdr:rowOff>18396</xdr:rowOff>
    </xdr:from>
    <xdr:to>
      <xdr:col>24</xdr:col>
      <xdr:colOff>378548</xdr:colOff>
      <xdr:row>18</xdr:row>
      <xdr:rowOff>9058</xdr:rowOff>
    </xdr:to>
    <xdr:sp macro="" textlink="">
      <xdr:nvSpPr>
        <xdr:cNvPr id="16" name="Rectangle: Rounded Corners 15">
          <a:extLst>
            <a:ext uri="{FF2B5EF4-FFF2-40B4-BE49-F238E27FC236}">
              <a16:creationId xmlns:a16="http://schemas.microsoft.com/office/drawing/2014/main" id="{4DDB5B7D-EB52-4D4A-A607-566714DCBF6E}"/>
            </a:ext>
          </a:extLst>
        </xdr:cNvPr>
        <xdr:cNvSpPr/>
      </xdr:nvSpPr>
      <xdr:spPr>
        <a:xfrm>
          <a:off x="11989180" y="2179292"/>
          <a:ext cx="2946980" cy="107110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r>
            <a:rPr lang="en-US" sz="2800" b="1">
              <a:solidFill>
                <a:srgbClr val="4B1109"/>
              </a:solidFill>
            </a:rPr>
            <a:t>Top Region</a:t>
          </a:r>
        </a:p>
        <a:p>
          <a:pPr lvl="0" algn="r"/>
          <a:r>
            <a:rPr lang="en-US" sz="2800" b="0">
              <a:solidFill>
                <a:srgbClr val="4B1109"/>
              </a:solidFill>
            </a:rPr>
            <a:t>East</a:t>
          </a:r>
        </a:p>
      </xdr:txBody>
    </xdr:sp>
    <xdr:clientData/>
  </xdr:twoCellAnchor>
  <xdr:twoCellAnchor editAs="oneCell">
    <xdr:from>
      <xdr:col>20</xdr:col>
      <xdr:colOff>0</xdr:colOff>
      <xdr:row>19</xdr:row>
      <xdr:rowOff>94776</xdr:rowOff>
    </xdr:from>
    <xdr:to>
      <xdr:col>21</xdr:col>
      <xdr:colOff>339476</xdr:colOff>
      <xdr:row>24</xdr:row>
      <xdr:rowOff>151642</xdr:rowOff>
    </xdr:to>
    <xdr:pic>
      <xdr:nvPicPr>
        <xdr:cNvPr id="19" name="Picture 18">
          <a:extLst>
            <a:ext uri="{FF2B5EF4-FFF2-40B4-BE49-F238E27FC236}">
              <a16:creationId xmlns:a16="http://schemas.microsoft.com/office/drawing/2014/main" id="{CCBDA0A1-D45F-EA80-4802-C2A8F809A61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131343" y="3516194"/>
          <a:ext cx="946043" cy="957239"/>
        </a:xfrm>
        <a:prstGeom prst="rect">
          <a:avLst/>
        </a:prstGeom>
      </xdr:spPr>
    </xdr:pic>
    <xdr:clientData/>
  </xdr:twoCellAnchor>
  <xdr:twoCellAnchor editAs="oneCell">
    <xdr:from>
      <xdr:col>19</xdr:col>
      <xdr:colOff>587614</xdr:colOff>
      <xdr:row>12</xdr:row>
      <xdr:rowOff>84739</xdr:rowOff>
    </xdr:from>
    <xdr:to>
      <xdr:col>21</xdr:col>
      <xdr:colOff>369628</xdr:colOff>
      <xdr:row>17</xdr:row>
      <xdr:rowOff>104610</xdr:rowOff>
    </xdr:to>
    <xdr:pic>
      <xdr:nvPicPr>
        <xdr:cNvPr id="20" name="Picture 19">
          <a:extLst>
            <a:ext uri="{FF2B5EF4-FFF2-40B4-BE49-F238E27FC236}">
              <a16:creationId xmlns:a16="http://schemas.microsoft.com/office/drawing/2014/main" id="{46665E19-C5B0-B56F-F729-85BD1884557E}"/>
            </a:ext>
          </a:extLst>
        </xdr:cNvPr>
        <xdr:cNvPicPr>
          <a:picLocks noChangeAspect="1"/>
        </xdr:cNvPicPr>
      </xdr:nvPicPr>
      <xdr:blipFill>
        <a:blip xmlns:r="http://schemas.openxmlformats.org/officeDocument/2006/relationships" r:embed="rId9"/>
        <a:stretch>
          <a:fillRect/>
        </a:stretch>
      </xdr:blipFill>
      <xdr:spPr>
        <a:xfrm>
          <a:off x="12112390" y="2245635"/>
          <a:ext cx="995148" cy="920244"/>
        </a:xfrm>
        <a:prstGeom prst="rect">
          <a:avLst/>
        </a:prstGeom>
      </xdr:spPr>
    </xdr:pic>
    <xdr:clientData/>
  </xdr:twoCellAnchor>
  <xdr:twoCellAnchor>
    <xdr:from>
      <xdr:col>19</xdr:col>
      <xdr:colOff>453571</xdr:colOff>
      <xdr:row>2</xdr:row>
      <xdr:rowOff>90713</xdr:rowOff>
    </xdr:from>
    <xdr:to>
      <xdr:col>24</xdr:col>
      <xdr:colOff>362857</xdr:colOff>
      <xdr:row>11</xdr:row>
      <xdr:rowOff>90715</xdr:rowOff>
    </xdr:to>
    <xdr:sp macro="" textlink="">
      <xdr:nvSpPr>
        <xdr:cNvPr id="23" name="Rectangle: Rounded Corners 22">
          <a:extLst>
            <a:ext uri="{FF2B5EF4-FFF2-40B4-BE49-F238E27FC236}">
              <a16:creationId xmlns:a16="http://schemas.microsoft.com/office/drawing/2014/main" id="{6993E7F7-A76D-410B-BA09-73DF6E21CBBE}"/>
            </a:ext>
          </a:extLst>
        </xdr:cNvPr>
        <xdr:cNvSpPr/>
      </xdr:nvSpPr>
      <xdr:spPr>
        <a:xfrm>
          <a:off x="12087678" y="453570"/>
          <a:ext cx="2970893" cy="1632859"/>
        </a:xfrm>
        <a:prstGeom prst="roundRect">
          <a:avLst>
            <a:gd name="adj" fmla="val 11441"/>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113392</xdr:colOff>
      <xdr:row>3</xdr:row>
      <xdr:rowOff>-1</xdr:rowOff>
    </xdr:from>
    <xdr:to>
      <xdr:col>24</xdr:col>
      <xdr:colOff>124733</xdr:colOff>
      <xdr:row>11</xdr:row>
      <xdr:rowOff>22680</xdr:rowOff>
    </xdr:to>
    <mc:AlternateContent xmlns:mc="http://schemas.openxmlformats.org/markup-compatibility/2006">
      <mc:Choice xmlns:a14="http://schemas.microsoft.com/office/drawing/2010/main" Requires="a14">
        <xdr:graphicFrame macro="">
          <xdr:nvGraphicFramePr>
            <xdr:cNvPr id="24" name="Sales_Region 2">
              <a:extLst>
                <a:ext uri="{FF2B5EF4-FFF2-40B4-BE49-F238E27FC236}">
                  <a16:creationId xmlns:a16="http://schemas.microsoft.com/office/drawing/2014/main" id="{77226319-E71D-4520-9DEC-365ED79B32B0}"/>
                </a:ext>
              </a:extLst>
            </xdr:cNvPr>
            <xdr:cNvGraphicFramePr/>
          </xdr:nvGraphicFramePr>
          <xdr:xfrm>
            <a:off x="0" y="0"/>
            <a:ext cx="0" cy="0"/>
          </xdr:xfrm>
          <a:graphic>
            <a:graphicData uri="http://schemas.microsoft.com/office/drawing/2010/slicer">
              <sle:slicer xmlns:sle="http://schemas.microsoft.com/office/drawing/2010/slicer" name="Sales_Region 2"/>
            </a:graphicData>
          </a:graphic>
        </xdr:graphicFrame>
      </mc:Choice>
      <mc:Fallback>
        <xdr:sp macro="" textlink="">
          <xdr:nvSpPr>
            <xdr:cNvPr id="0" name=""/>
            <xdr:cNvSpPr>
              <a:spLocks noTextEdit="1"/>
            </xdr:cNvSpPr>
          </xdr:nvSpPr>
          <xdr:spPr>
            <a:xfrm>
              <a:off x="12253098" y="560293"/>
              <a:ext cx="2439282" cy="151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176942</xdr:colOff>
      <xdr:row>3</xdr:row>
      <xdr:rowOff>42203</xdr:rowOff>
    </xdr:from>
    <xdr:to>
      <xdr:col>19</xdr:col>
      <xdr:colOff>142923</xdr:colOff>
      <xdr:row>16</xdr:row>
      <xdr:rowOff>68844</xdr:rowOff>
    </xdr:to>
    <xdr:graphicFrame macro="">
      <xdr:nvGraphicFramePr>
        <xdr:cNvPr id="39" name="Chart 38">
          <a:extLst>
            <a:ext uri="{FF2B5EF4-FFF2-40B4-BE49-F238E27FC236}">
              <a16:creationId xmlns:a16="http://schemas.microsoft.com/office/drawing/2014/main" id="{287A80FC-F5DC-49F6-9AE8-B56245580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6180557" backgroundQuery="1" createdVersion="8" refreshedVersion="8" minRefreshableVersion="3" recordCount="0" supportSubquery="1" supportAdvancedDrill="1" xr:uid="{59959334-273B-4D2E-B2E2-069B94FD9CAF}">
  <cacheSource type="external" connectionId="5"/>
  <cacheFields count="4">
    <cacheField name="[Raw_Sales_Data].[Product_Item].[Product_Item]" caption="Product_Item" numFmtId="0" hierarchy="4" level="1">
      <sharedItems count="4">
        <s v="4K Monitor"/>
        <s v="Laptop Pro 15"/>
        <s v="Mechanical Keyboard"/>
        <s v="Wireless Mouse"/>
      </sharedItems>
    </cacheField>
    <cacheField name="[Measures].[avg]" caption="avg" numFmtId="0" hierarchy="14" level="32767"/>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2" memberValueDatatype="130" unbalanced="0">
      <fieldsUsage count="2">
        <fieldUsage x="-1"/>
        <fieldUsage x="0"/>
      </fieldsUsage>
    </cacheHierarchy>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2"/>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3"/>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oneField="1">
      <fieldsUsage count="1">
        <fieldUsage x="1"/>
      </fieldsUsage>
    </cacheHierarchy>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6990742" backgroundQuery="1" createdVersion="8" refreshedVersion="8" minRefreshableVersion="3" recordCount="0" supportSubquery="1" supportAdvancedDrill="1" xr:uid="{9C746E39-E303-46B7-BBF8-1D02B7CFEB2C}">
  <cacheSource type="external" connectionId="5"/>
  <cacheFields count="4">
    <cacheField name="[Raw_Sales_Data].[Product_Item].[Product_Item]" caption="Product_Item" numFmtId="0" hierarchy="4" level="1">
      <sharedItems count="4">
        <s v="4K Monitor"/>
        <s v="Laptop Pro 15"/>
        <s v="Mechanical Keyboard"/>
        <s v="Wireless Mouse"/>
      </sharedItems>
    </cacheField>
    <cacheField name="[Measures].[Sum of Qty]" caption="Sum of Qty" numFmtId="0" hierarchy="21" level="32767"/>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2" memberValueDatatype="130" unbalanced="0">
      <fieldsUsage count="2">
        <fieldUsage x="-1"/>
        <fieldUsage x="0"/>
      </fieldsUsage>
    </cacheHierarchy>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2"/>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3"/>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7569443" backgroundQuery="1" createdVersion="8" refreshedVersion="8" minRefreshableVersion="3" recordCount="0" supportSubquery="1" supportAdvancedDrill="1" xr:uid="{5CB23CE5-ED34-476A-921B-D4E5B80615A7}">
  <cacheSource type="external" connectionId="5"/>
  <cacheFields count="4">
    <cacheField name="[Raw_Sales_Data].[Product_Item].[Product_Item]" caption="Product_Item" numFmtId="0" hierarchy="4" level="1">
      <sharedItems count="4">
        <s v="4K Monitor"/>
        <s v="Laptop Pro 15"/>
        <s v="Mechanical Keyboard"/>
        <s v="Wireless Mouse"/>
      </sharedItems>
    </cacheField>
    <cacheField name="[Measures].[Sum of Unit_Price]" caption="Sum of Unit_Price" numFmtId="0" hierarchy="20" level="32767"/>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2" memberValueDatatype="130" unbalanced="0">
      <fieldsUsage count="2">
        <fieldUsage x="-1"/>
        <fieldUsage x="0"/>
      </fieldsUsage>
    </cacheHierarchy>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2"/>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3"/>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8958336" backgroundQuery="1" createdVersion="8" refreshedVersion="8" minRefreshableVersion="3" recordCount="0" supportSubquery="1" supportAdvancedDrill="1" xr:uid="{182031AE-768D-419C-A54D-0235849EDD24}">
  <cacheSource type="external" connectionId="5"/>
  <cacheFields count="3">
    <cacheField name="[Raw_Sales_Data].[Category_Type].[Category_Type]" caption="Category_Type" numFmtId="0" hierarchy="5" level="1">
      <sharedItems count="2">
        <s v="Accessories"/>
        <s v="Electronics" u="1"/>
      </sharedItems>
    </cacheField>
    <cacheField name="[Measures].[Total_Revenue]" caption="Total_Revenue" numFmtId="0" hierarchy="13" level="32767"/>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2"/>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oneField="1">
      <fieldsUsage count="1">
        <fieldUsage x="1"/>
      </fieldsUsage>
    </cacheHierarchy>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9421298" backgroundQuery="1" createdVersion="8" refreshedVersion="8" minRefreshableVersion="3" recordCount="0" supportSubquery="1" supportAdvancedDrill="1" xr:uid="{C8314E77-4534-43CC-8421-E58EEB317A70}">
  <cacheSource type="external" connectionId="5"/>
  <cacheFields count="2">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9652775" backgroundQuery="1" createdVersion="8" refreshedVersion="8" minRefreshableVersion="3" recordCount="0" supportSubquery="1" supportAdvancedDrill="1" xr:uid="{C8B90BDA-095D-4377-9A7E-6BFB0728F0D7}">
  <cacheSource type="external" connectionId="5"/>
  <cacheFields count="2">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50925929" backgroundQuery="1" createdVersion="8" refreshedVersion="8" minRefreshableVersion="3" recordCount="0" supportSubquery="1" supportAdvancedDrill="1" xr:uid="{0C4E4F2D-4516-45AD-AA00-FC1E551BFA3D}">
  <cacheSource type="external" connectionId="5"/>
  <cacheFields count="4">
    <cacheField name="[mon].[Month_name].[Month_name]" caption="Month_name" numFmtId="0" level="1">
      <sharedItems count="12">
        <s v="April"/>
        <s v="August"/>
        <s v="December"/>
        <s v="February"/>
        <s v="January"/>
        <s v="July"/>
        <s v="June"/>
        <s v="March"/>
        <s v="May"/>
        <s v="November"/>
        <s v="October"/>
        <s v="September"/>
      </sharedItems>
    </cacheField>
    <cacheField name="[Measures].[Sum of Total_Sales 2]" caption="Sum of Total_Sales 2" numFmtId="0" hierarchy="22" level="32767"/>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2" memberValueDatatype="130" unbalanced="0">
      <fieldsUsage count="2">
        <fieldUsage x="-1"/>
        <fieldUsage x="0"/>
      </fieldsUsage>
    </cacheHierarchy>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2"/>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3"/>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51388891" backgroundQuery="1" createdVersion="8" refreshedVersion="8" minRefreshableVersion="3" recordCount="0" supportSubquery="1" supportAdvancedDrill="1" xr:uid="{BE9428CC-1DE4-4D26-BA6C-5F0D09BB4C49}">
  <cacheSource type="external" connectionId="5"/>
  <cacheFields count="2">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51620368" backgroundQuery="1" createdVersion="8" refreshedVersion="8" minRefreshableVersion="3" recordCount="0" supportSubquery="1" supportAdvancedDrill="1" xr:uid="{F03BF43A-4406-4348-8B58-DE96BA00751C}">
  <cacheSource type="external" connectionId="5"/>
  <cacheFields count="2">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48379628" backgroundQuery="1" createdVersion="8" refreshedVersion="8" minRefreshableVersion="3" recordCount="0" supportSubquery="1" supportAdvancedDrill="1" xr:uid="{F25B0FD4-A29E-400D-9819-98747380D0C6}">
  <cacheSource type="external" connectionId="5"/>
  <cacheFields count="3">
    <cacheField name="[Raw_Sales_Data].[Sales_Region].[Sales_Region]" caption="Sales_Region" numFmtId="0" hierarchy="7" level="1">
      <sharedItems count="4">
        <s v="South"/>
        <s v="East" u="1"/>
        <s v="North" u="1"/>
        <s v="West" u="1"/>
      </sharedItems>
    </cacheField>
    <cacheField name="[Measures].[Sum of Total_Sales]" caption="Sum of Total_Sales" numFmtId="0" hierarchy="19" level="32767"/>
    <cacheField name="[Raw_Sales_Data].[Category_Type].[Category_Type]" caption="Category_Type" numFmtId="0" hierarchy="5"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2"/>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0"/>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66751967592" backgroundQuery="1" createdVersion="8" refreshedVersion="8" minRefreshableVersion="3" recordCount="0" supportSubquery="1" supportAdvancedDrill="1" xr:uid="{343202D9-CF78-4B60-912E-B52BB177CCB8}">
  <cacheSource type="external" connectionId="5"/>
  <cacheFields count="2">
    <cacheField name="[Raw_Sales_Data].[Category_Type].[Category_Type]" caption="Category_Type" numFmtId="0" hierarchy="5" level="1">
      <sharedItems containsSemiMixedTypes="0" containsNonDate="0" containsString="0"/>
    </cacheField>
    <cacheField name="[Raw_Sales_Data].[Sales_Region].[Sales_Region]" caption="Sales_Region" numFmtId="0" hierarchy="7" level="1">
      <sharedItems containsSemiMixedTypes="0" containsNonDate="0" containsString="0"/>
    </cacheField>
  </cacheFields>
  <cacheHierarchies count="23">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2" memberValueDatatype="130" unbalanced="0">
      <fieldsUsage count="2">
        <fieldUsage x="-1"/>
        <fieldUsage x="0"/>
      </fieldsUsage>
    </cacheHierarchy>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2" memberValueDatatype="130" unbalanced="0">
      <fieldsUsage count="2">
        <fieldUsage x="-1"/>
        <fieldUsage x="1"/>
      </fieldsUsage>
    </cacheHierarchy>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y uniqueName="[Measures].[Sum of Total_Sales 2]" caption="Sum of Total_Sales 2" measure="1" displayFolder="" measureGroup="mon"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75.054010995373" backgroundQuery="1" createdVersion="3" refreshedVersion="8" minRefreshableVersion="3" recordCount="0" supportSubquery="1" supportAdvancedDrill="1" xr:uid="{A4F9A76E-49A2-4C82-B40B-404C9A29FFC1}">
  <cacheSource type="external" connectionId="5">
    <extLst>
      <ext xmlns:x14="http://schemas.microsoft.com/office/spreadsheetml/2009/9/main" uri="{F057638F-6D5F-4e77-A914-E7F072B9BCA8}">
        <x14:sourceConnection name="ThisWorkbookDataModel"/>
      </ext>
    </extLst>
  </cacheSource>
  <cacheFields count="0"/>
  <cacheHierarchies count="22">
    <cacheHierarchy uniqueName="[mon].[Month_name]" caption="Month_name" attribute="1" defaultMemberUniqueName="[mon].[Month_name].[All]" allUniqueName="[mon].[Month_name].[All]" dimensionUniqueName="[mon]" displayFolder="" count="0" memberValueDatatype="130" unbalanced="0"/>
    <cacheHierarchy uniqueName="[mon].[Total_Sales]" caption="Total_Sales" attribute="1" defaultMemberUniqueName="[mon].[Total_Sales].[All]" allUniqueName="[mon].[Total_Sales].[All]" dimensionUniqueName="[mon]" displayFolder="" count="0" memberValueDatatype="20" unbalanced="0"/>
    <cacheHierarchy uniqueName="[Raw_Sales_Data].[Order_ID]" caption="Order_ID" attribute="1" defaultMemberUniqueName="[Raw_Sales_Data].[Order_ID].[All]" allUniqueName="[Raw_Sales_Data].[Order_ID].[All]" dimensionUniqueName="[Raw_Sales_Data]" displayFolder="" count="0" memberValueDatatype="130" unbalanced="0"/>
    <cacheHierarchy uniqueName="[Raw_Sales_Data].[Customer_Name]" caption="Customer_Name" attribute="1" defaultMemberUniqueName="[Raw_Sales_Data].[Customer_Name].[All]" allUniqueName="[Raw_Sales_Data].[Customer_Name].[All]" dimensionUniqueName="[Raw_Sales_Data]" displayFolder="" count="0" memberValueDatatype="130" unbalanced="0"/>
    <cacheHierarchy uniqueName="[Raw_Sales_Data].[Product_Item]" caption="Product_Item" attribute="1" defaultMemberUniqueName="[Raw_Sales_Data].[Product_Item].[All]" allUniqueName="[Raw_Sales_Data].[Product_Item].[All]" dimensionUniqueName="[Raw_Sales_Data]" displayFolder="" count="0" memberValueDatatype="130" unbalanced="0"/>
    <cacheHierarchy uniqueName="[Raw_Sales_Data].[Category_Type]" caption="Category_Type" attribute="1" defaultMemberUniqueName="[Raw_Sales_Data].[Category_Type].[All]" allUniqueName="[Raw_Sales_Data].[Category_Type].[All]" dimensionUniqueName="[Raw_Sales_Data]" displayFolder="" count="0" memberValueDatatype="130" unbalanced="0"/>
    <cacheHierarchy uniqueName="[Raw_Sales_Data].[Order Date]" caption="Order Date" attribute="1" time="1" defaultMemberUniqueName="[Raw_Sales_Data].[Order Date].[All]" allUniqueName="[Raw_Sales_Data].[Order Date].[All]" dimensionUniqueName="[Raw_Sales_Data]" displayFolder="" count="0" memberValueDatatype="7" unbalanced="0"/>
    <cacheHierarchy uniqueName="[Raw_Sales_Data].[Sales_Region]" caption="Sales_Region" attribute="1" defaultMemberUniqueName="[Raw_Sales_Data].[Sales_Region].[All]" allUniqueName="[Raw_Sales_Data].[Sales_Region].[All]" dimensionUniqueName="[Raw_Sales_Data]" displayFolder="" count="0" memberValueDatatype="130" unbalanced="0"/>
    <cacheHierarchy uniqueName="[Raw_Sales_Data].[Qty]" caption="Qty" attribute="1" defaultMemberUniqueName="[Raw_Sales_Data].[Qty].[All]" allUniqueName="[Raw_Sales_Data].[Qty].[All]" dimensionUniqueName="[Raw_Sales_Data]" displayFolder="" count="0" memberValueDatatype="20" unbalanced="0"/>
    <cacheHierarchy uniqueName="[Raw_Sales_Data].[Unit_Price]" caption="Unit_Price" attribute="1" defaultMemberUniqueName="[Raw_Sales_Data].[Unit_Price].[All]" allUniqueName="[Raw_Sales_Data].[Unit_Price].[All]" dimensionUniqueName="[Raw_Sales_Data]" displayFolder="" count="0" memberValueDatatype="20" unbalanced="0"/>
    <cacheHierarchy uniqueName="[Raw_Sales_Data].[Total_Sales]" caption="Total_Sales" attribute="1" defaultMemberUniqueName="[Raw_Sales_Data].[Total_Sales].[All]" allUniqueName="[Raw_Sales_Data].[Total_Sales].[All]" dimensionUniqueName="[Raw_Sales_Data]" displayFolder="" count="0" memberValueDatatype="20" unbalanced="0"/>
    <cacheHierarchy uniqueName="[Raw_Sales_Data__2].[Sales_Region]" caption="Sales_Region" attribute="1" defaultMemberUniqueName="[Raw_Sales_Data__2].[Sales_Region].[All]" allUniqueName="[Raw_Sales_Data__2].[Sales_Region].[All]" dimensionUniqueName="[Raw_Sales_Data__2]" displayFolder="" count="0" memberValueDatatype="130" unbalanced="0"/>
    <cacheHierarchy uniqueName="[Raw_Sales_Data__2].[Order_ID]" caption="Order_ID" attribute="1" defaultMemberUniqueName="[Raw_Sales_Data__2].[Order_ID].[All]" allUniqueName="[Raw_Sales_Data__2].[Order_ID].[All]" dimensionUniqueName="[Raw_Sales_Data__2]" displayFolder="" count="0" memberValueDatatype="130" unbalanced="0"/>
    <cacheHierarchy uniqueName="[Measures].[Total_Revenue]" caption="Total_Revenue" measure="1" displayFolder="" measureGroup="Raw_Sales_Data" count="0"/>
    <cacheHierarchy uniqueName="[Measures].[avg]" caption="avg" measure="1" displayFolder="" measureGroup="Raw_Sales_Data" count="0"/>
    <cacheHierarchy uniqueName="[Measures].[__XL_Count Raw_Sales_Data]" caption="__XL_Count Raw_Sales_Data" measure="1" displayFolder="" measureGroup="Raw_Sales_Data" count="0" hidden="1"/>
    <cacheHierarchy uniqueName="[Measures].[__XL_Count Raw_Sales_Data__2]" caption="__XL_Count Raw_Sales_Data__2" measure="1" displayFolder="" measureGroup="Raw_Sales_Data__2" count="0" hidden="1"/>
    <cacheHierarchy uniqueName="[Measures].[__XL_Count mon]" caption="__XL_Count mon" measure="1" displayFolder="" measureGroup="mon" count="0" hidden="1"/>
    <cacheHierarchy uniqueName="[Measures].[__No measures defined]" caption="__No measures defined" measure="1" displayFolder="" count="0" hidden="1"/>
    <cacheHierarchy uniqueName="[Measures].[Sum of Total_Sales]" caption="Sum of Total_Sales" measure="1" displayFolder="" measureGroup="Raw_Sales_Data" count="0" hidden="1">
      <extLst>
        <ext xmlns:x15="http://schemas.microsoft.com/office/spreadsheetml/2010/11/main" uri="{B97F6D7D-B522-45F9-BDA1-12C45D357490}">
          <x15:cacheHierarchy aggregatedColumn="10"/>
        </ext>
      </extLst>
    </cacheHierarchy>
    <cacheHierarchy uniqueName="[Measures].[Sum of Unit_Price]" caption="Sum of Unit_Price" measure="1" displayFolder="" measureGroup="Raw_Sales_Data" count="0" hidden="1">
      <extLst>
        <ext xmlns:x15="http://schemas.microsoft.com/office/spreadsheetml/2010/11/main" uri="{B97F6D7D-B522-45F9-BDA1-12C45D357490}">
          <x15:cacheHierarchy aggregatedColumn="9"/>
        </ext>
      </extLst>
    </cacheHierarchy>
    <cacheHierarchy uniqueName="[Measures].[Sum of Qty]" caption="Sum of Qty" measure="1" displayFolder="" measureGroup="Raw_Sales_Data" count="0" hidden="1">
      <extLst>
        <ext xmlns:x15="http://schemas.microsoft.com/office/spreadsheetml/2010/11/main" uri="{B97F6D7D-B522-45F9-BDA1-12C45D357490}">
          <x15:cacheHierarchy aggregatedColumn="8"/>
        </ext>
      </extLst>
    </cacheHierarchy>
  </cacheHierarchies>
  <kpis count="0"/>
  <dimensions count="4">
    <dimension measure="1" name="Measures" uniqueName="[Measures]" caption="Measures"/>
    <dimension name="mon" uniqueName="[mon]" caption="mon"/>
    <dimension name="Raw_Sales_Data" uniqueName="[Raw_Sales_Data]" caption="Raw_Sales_Data"/>
    <dimension name="Raw_Sales_Data__2" uniqueName="[Raw_Sales_Data__2]" caption="Raw_Sales_Data__2"/>
  </dimensions>
  <measureGroups count="3">
    <measureGroup name="mon" caption="mon"/>
    <measureGroup name="Raw_Sales_Data" caption="Raw_Sales_Data"/>
    <measureGroup name="Raw_Sales_Data__2" caption="Raw_Sales_Data__2"/>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licerData="1" pivotCacheId="4873969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83A40-1211-4C09-9CF1-F599A75D3669}" name="PivotTable7" cacheId="1567" applyNumberFormats="0" applyBorderFormats="0" applyFontFormats="0" applyPatternFormats="0" applyAlignmentFormats="0" applyWidthHeightFormats="1" dataCaption="Values" tag="4f66a42a-e748-46af-ab8d-1b65ce7fd0f2" updatedVersion="8" minRefreshableVersion="3" useAutoFormatting="1" itemPrintTitles="1" createdVersion="8" indent="0" outline="1" outlineData="1" multipleFieldFilters="0" chartFormat="21">
  <location ref="P6:Q19" firstHeaderRow="1" firstDataRow="1" firstDataCol="1"/>
  <pivotFields count="4">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v="2"/>
    </i>
    <i>
      <x v="6"/>
    </i>
    <i>
      <x v="1"/>
    </i>
    <i>
      <x/>
    </i>
    <i>
      <x v="7"/>
    </i>
    <i>
      <x v="9"/>
    </i>
    <i>
      <x v="5"/>
    </i>
    <i>
      <x v="3"/>
    </i>
    <i>
      <x v="4"/>
    </i>
    <i>
      <x v="8"/>
    </i>
    <i>
      <x v="10"/>
    </i>
    <i>
      <x v="11"/>
    </i>
    <i t="grand">
      <x/>
    </i>
  </rowItems>
  <colItems count="1">
    <i/>
  </colItems>
  <dataFields count="1">
    <dataField name="Sum of Total_Sales" fld="1" baseField="0" baseItem="0"/>
  </dataFields>
  <chartFormats count="1">
    <chartFormat chart="1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2761F6-1AE3-4108-BF0B-0D67776E3659}" name="PivotTable6" cacheId="1576" applyNumberFormats="0" applyBorderFormats="0" applyFontFormats="0" applyPatternFormats="0" applyAlignmentFormats="0" applyWidthHeightFormats="1" dataCaption="Values" tag="90a43736-2786-4c36-89d3-7e4fd2c001cb" updatedVersion="8" minRefreshableVersion="3" itemPrintTitles="1" createdVersion="8" indent="0" outline="1" outlineData="1" multipleFieldFilters="0">
  <location ref="N3"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CA20F4-8A7A-4321-9CE5-0734B327ED2B}" name="PivotTable5" cacheId="1563" applyNumberFormats="0" applyBorderFormats="0" applyFontFormats="0" applyPatternFormats="0" applyAlignmentFormats="0" applyWidthHeightFormats="1" dataCaption="Values" tag="e8b2e764-cdf5-4f34-9748-8fc286b240f1" updatedVersion="8" minRefreshableVersion="3" useAutoFormatting="1" itemPrintTitles="1" createdVersion="8" indent="0" outline="1" outlineData="1" multipleFieldFilters="0">
  <location ref="L9:N26"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245AC3-D354-45DC-BF27-1BD161760507}" name="PivotTable4" cacheId="1561" applyNumberFormats="0" applyBorderFormats="0" applyFontFormats="0" applyPatternFormats="0" applyAlignmentFormats="0" applyWidthHeightFormats="1" dataCaption="Values" tag="6c1ce3c5-7318-421c-80f6-8df1ba64bf06" updatedVersion="8" minRefreshableVersion="3" useAutoFormatting="1" itemPrintTitles="1" createdVersion="8" indent="0" outline="1" outlineData="1" multipleFieldFilters="0">
  <location ref="H8:J25"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29EA3F-A9D6-4A9D-A012-7C9E43E88B46}" name="PivotTable2" cacheId="1571" applyNumberFormats="0" applyBorderFormats="0" applyFontFormats="0" applyPatternFormats="0" applyAlignmentFormats="0" applyWidthHeightFormats="1" dataCaption="Values" tag="36da29ad-63b1-46fb-a87f-acd043ba3641" updatedVersion="8" minRefreshableVersion="3" itemPrintTitles="1" createdVersion="8" indent="0" outline="1" outlineData="1" multipleFieldFilters="0">
  <location ref="H7"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CBC5C0-54FE-4FDE-8798-1D756C92CCA0}" name="PivotTable1" cacheId="15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8:Q45"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DA0862-EAAE-443C-B6AA-5AFE6C88868E}" name="PivotTable5" cacheId="1559" applyNumberFormats="0" applyBorderFormats="0" applyFontFormats="0" applyPatternFormats="0" applyAlignmentFormats="0" applyWidthHeightFormats="1" dataCaption="Values" tag="d99fb28a-915c-4971-8d5f-09d6871c1ce1" updatedVersion="8" minRefreshableVersion="3" useAutoFormatting="1" itemPrintTitles="1" createdVersion="8" indent="0" outline="1" outlineData="1" multipleFieldFilters="0" chartFormat="30">
  <location ref="J21:K23" firstHeaderRow="1" firstDataRow="1" firstDataCol="1"/>
  <pivotFields count="3">
    <pivotField axis="axisRow"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chartFormats count="14">
    <chartFormat chart="4"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7" format="4"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0" count="1" selected="0">
            <x v="0"/>
          </reference>
        </references>
      </pivotArea>
    </chartFormat>
    <chartFormat chart="27" format="3">
      <pivotArea type="data" outline="0" fieldPosition="0">
        <references count="2">
          <reference field="4294967294" count="1" selected="0">
            <x v="0"/>
          </reference>
          <reference field="0"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0" count="1" selected="0">
            <x v="0"/>
          </reference>
        </references>
      </pivotArea>
    </chartFormat>
    <chartFormat chart="28" format="6">
      <pivotArea type="data" outline="0" fieldPosition="0">
        <references count="2">
          <reference field="4294967294" count="1" selected="0">
            <x v="0"/>
          </reference>
          <reference field="0"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0" count="1" selected="0">
            <x v="0"/>
          </reference>
        </references>
      </pivotArea>
    </chartFormat>
    <chartFormat chart="29" format="6">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5CA369-F351-438E-B3C1-0AE6874133CF}" name="PivotTable4" cacheId="1554" applyNumberFormats="0" applyBorderFormats="0" applyFontFormats="0" applyPatternFormats="0" applyAlignmentFormats="0" applyWidthHeightFormats="1" dataCaption="Values" tag="42fad623-c527-4ea8-8b84-17c98a56b5c6" updatedVersion="8" minRefreshableVersion="3" useAutoFormatting="1" subtotalHiddenItems="1" itemPrintTitles="1" createdVersion="8" indent="0" outline="1" outlineData="1" multipleFieldFilters="0" chartFormat="24">
  <location ref="E13:F1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Unit_Price" fld="1" baseField="0" baseItem="0"/>
  </dataFields>
  <chartFormats count="2">
    <chartFormat chart="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6B61C9-A81B-42E3-B257-EBF28A26E9C1}" name="PivotTable3" cacheId="1557" applyNumberFormats="0" applyBorderFormats="0" applyFontFormats="0" applyPatternFormats="0" applyAlignmentFormats="0" applyWidthHeightFormats="1" dataCaption="Values" tag="86861286-b479-46a6-bad5-d91f92a2e8b7" updatedVersion="8" minRefreshableVersion="3" useAutoFormatting="1" subtotalHiddenItems="1" itemPrintTitles="1" createdVersion="8" indent="0" outline="1" outlineData="1" multipleFieldFilters="0" chartFormat="27">
  <location ref="J12:K14" firstHeaderRow="1" firstDataRow="1" firstDataCol="1"/>
  <pivotFields count="3">
    <pivotField axis="axisRow" allDrilled="1" subtotalTop="0" showAll="0" sortType="descending" defaultSubtotal="0" defaultAttributeDrillState="1">
      <items count="4">
        <item s="1"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_Sales" fld="1" baseField="0" baseItem="0"/>
  </dataFields>
  <chartFormats count="6">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 chart="16" format="0"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__2]"/>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EABF3B-7DF3-4528-B8B4-75469894B90C}" name="PivotTable7" cacheId="1550" applyNumberFormats="0" applyBorderFormats="0" applyFontFormats="0" applyPatternFormats="0" applyAlignmentFormats="0" applyWidthHeightFormats="1" dataCaption="Values" tag="d7894099-cbb4-448b-aa6c-2dbb6e0b5c86" updatedVersion="8" minRefreshableVersion="3" useAutoFormatting="1" itemPrintTitles="1" createdVersion="8" indent="0" outline="1" outlineData="1" multipleFieldFilters="0" chartFormat="24">
  <location ref="R12:S1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B529E1-3B56-42FB-B861-4B54C8C29781}" name="PivotTable6" cacheId="1552" applyNumberFormats="0" applyBorderFormats="0" applyFontFormats="0" applyPatternFormats="0" applyAlignmentFormats="0" applyWidthHeightFormats="1" dataCaption="Values" tag="5716e671-0823-41f0-b924-5882668bbab0" updatedVersion="8" minRefreshableVersion="3" useAutoFormatting="1" itemPrintTitles="1" createdVersion="8" indent="0" outline="1" outlineData="1" multipleFieldFilters="0" chartFormat="7">
  <location ref="O14:P1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ty"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multipleItemSelectionAllowed="1" dragToData="1">
      <members count="1" level="1">
        <member name="[Raw_Sales_Data].[Category_Type].&amp;[Accessories]"/>
      </members>
    </pivotHierarchy>
    <pivotHierarchy dragToData="1"/>
    <pivotHierarchy multipleItemSelectionAllowed="1" dragToData="1">
      <members count="1" level="1">
        <member name="[Raw_Sales_Data].[Sales_Region].&amp;[Sout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4EF444BE-111D-4EB0-8D78-92DEFDBD0A94}" autoFormatId="16" applyNumberFormats="0" applyBorderFormats="0" applyFontFormats="0" applyPatternFormats="0" applyAlignmentFormats="0" applyWidthHeightFormats="0">
  <queryTableRefresh nextId="4">
    <queryTableFields count="2">
      <queryTableField id="2" name="Month_name" tableColumnId="2"/>
      <queryTableField id="1" name="Total_Sale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5F8C08A9-F3AA-4E26-9974-9101A14CB08E}" autoFormatId="16" applyNumberFormats="0" applyBorderFormats="0" applyFontFormats="0" applyPatternFormats="0" applyAlignmentFormats="0" applyWidthHeightFormats="0">
  <queryTableRefresh nextId="3">
    <queryTableFields count="2">
      <queryTableField id="1" name="Sales_Region" tableColumnId="1"/>
      <queryTableField id="2" name="Order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AF749F3-041F-4E28-A6A6-DF4BE032B032}" autoFormatId="16" applyNumberFormats="0" applyBorderFormats="0" applyFontFormats="0" applyPatternFormats="0" applyAlignmentFormats="0" applyWidthHeightFormats="0">
  <queryTableRefresh nextId="12">
    <queryTableFields count="10">
      <queryTableField id="1" name="Order_ID" tableColumnId="1"/>
      <queryTableField id="2" name="Customer_Name" tableColumnId="2"/>
      <queryTableField id="3" name="Product_Item" tableColumnId="3"/>
      <queryTableField id="4" name="Category_Type" tableColumnId="4"/>
      <queryTableField id="5" name="Order Date" tableColumnId="5"/>
      <queryTableField id="6" name="Sales_Region" tableColumnId="6"/>
      <queryTableField id="7" name="Qty" tableColumnId="7"/>
      <queryTableField id="8" name="Unit_Price" tableColumnId="8"/>
      <queryTableField id="9" name="Total_Sales" tableColumnId="9"/>
      <queryTableField id="11" name="Month_name" tableColumnId="1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17</v>
    <v>7</v>
  </rv>
  <rv s="1">
    <v>0</v>
    <v>5</v>
  </rv>
</rvData>
</file>

<file path=xl/richData/rdrichvaluestructure.xml><?xml version="1.0" encoding="utf-8"?>
<rvStructures xmlns="http://schemas.microsoft.com/office/spreadsheetml/2017/richdata" count="2">
  <s t="_error">
    <k n="colOffset" t="i"/>
    <k n="errorType" t="i"/>
    <k n="rwOffset" t="i"/>
    <k n="subType" t="i"/>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1" xr10:uid="{9CF029B0-E07F-4C22-B960-570120007331}" sourceName="[Raw_Sales_Data].[Sales_Region]">
  <pivotTables>
    <pivotTable tabId="3" name="PivotTable7"/>
    <pivotTable tabId="3" name="PivotTable6"/>
    <pivotTable tabId="3" name="PivotTable4"/>
    <pivotTable tabId="3" name="PivotTable3"/>
    <pivotTable tabId="3" name="PivotTable5"/>
    <pivotTable tabId="11" name="PivotTable4"/>
    <pivotTable tabId="11" name="PivotTable5"/>
    <pivotTable tabId="11" name="PivotTable6"/>
    <pivotTable tabId="11" name="PivotTable7"/>
    <pivotTable tabId="3" name="PivotTable1"/>
    <pivotTable tabId="3" name="PivotTable2"/>
  </pivotTables>
  <data>
    <olap pivotCacheId="487396987">
      <levels count="2">
        <level uniqueName="[Raw_Sales_Data].[Sales_Region].[(All)]" sourceCaption="(All)" count="0"/>
        <level uniqueName="[Raw_Sales_Data].[Sales_Region].[Sales_Region]" sourceCaption="Sales_Region" count="4">
          <ranges>
            <range startItem="0">
              <i n="[Raw_Sales_Data].[Sales_Region].&amp;[East]" c="East"/>
              <i n="[Raw_Sales_Data].[Sales_Region].&amp;[North]" c="North"/>
              <i n="[Raw_Sales_Data].[Sales_Region].&amp;[South]" c="South"/>
              <i n="[Raw_Sales_Data].[Sales_Region].&amp;[West]" c="West"/>
            </range>
          </ranges>
        </level>
      </levels>
      <selections count="1">
        <selection n="[Raw_Sales_Data].[Sales_Region].&amp;[Sout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 xr10:uid="{4958C97A-BA67-48A5-B77B-BF55F2E4E947}" sourceName="[Raw_Sales_Data].[Category_Type]">
  <pivotTables>
    <pivotTable tabId="3" name="PivotTable3"/>
    <pivotTable tabId="3" name="PivotTable4"/>
    <pivotTable tabId="3" name="PivotTable5"/>
    <pivotTable tabId="3" name="PivotTable6"/>
    <pivotTable tabId="3" name="PivotTable7"/>
    <pivotTable tabId="11" name="PivotTable4"/>
    <pivotTable tabId="11" name="PivotTable5"/>
    <pivotTable tabId="11" name="PivotTable6"/>
    <pivotTable tabId="11" name="PivotTable7"/>
    <pivotTable tabId="3" name="PivotTable1"/>
    <pivotTable tabId="3" name="PivotTable2"/>
  </pivotTables>
  <data>
    <olap pivotCacheId="487396987">
      <levels count="2">
        <level uniqueName="[Raw_Sales_Data].[Category_Type].[(All)]" sourceCaption="(All)" count="0"/>
        <level uniqueName="[Raw_Sales_Data].[Category_Type].[Category_Type]" sourceCaption="Category_Type" count="2">
          <ranges>
            <range startItem="0">
              <i n="[Raw_Sales_Data].[Category_Type].&amp;[Accessories]" c="Accessories"/>
              <i n="[Raw_Sales_Data].[Category_Type].&amp;[Electronics]" c="Electronics"/>
            </range>
          </ranges>
        </level>
      </levels>
      <selections count="1">
        <selection n="[Raw_Sales_Data].[Category_Type].&amp;[Accessori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gion 1" xr10:uid="{9ED211BF-821E-4894-99B9-343D33B5A8FE}" cache="Slicer_Sales_Region1" caption="Sales_Region" level="1" style="SlicerStyleLight5" rowHeight="251883"/>
  <slicer name="Sales_Region" xr10:uid="{638036F0-7A25-4D9F-ACEA-2EF8AF9FAE7F}" cache="Slicer_Sales_Region1" caption="Sales_Region" level="1" style="SlicerStyleLight1" rowHeight="251883"/>
  <slicer name="Category_Type" xr10:uid="{D45E4634-2B15-48C8-938E-3E6555EB24C5}" cache="Slicer_Category_Type" caption="Category_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gion 2" xr10:uid="{799012A9-2522-497A-BB32-2B9A3248C817}" cache="Slicer_Sales_Region1" caption="Sales_Region" level="1" style="SlicerStyleDark6" rowHeight="251883"/>
  <slicer name="Category_Type 1" xr10:uid="{75FCE547-89C7-493C-978C-B3C3CA759E53}" cache="Slicer_Category_Type" caption="Category_Type" level="1" style="SlicerStyleDark6"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CFFCF9-9133-4945-9B65-C6B46509A888}" name="mon" displayName="mon" ref="A1:B105" tableType="queryTable" totalsRowShown="0">
  <autoFilter ref="A1:B105" xr:uid="{00CFFCF9-9133-4945-9B65-C6B46509A888}"/>
  <tableColumns count="2">
    <tableColumn id="2" xr3:uid="{5517A465-B7CB-4DBA-A91F-2969A714539E}" uniqueName="2" name="Month_name" queryTableFieldId="2"/>
    <tableColumn id="1" xr3:uid="{260DBB00-7908-4B3E-9E67-4E117651B091}" uniqueName="1" name="Total_Sales"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5FEE164-0F0C-4C94-B1F9-B6DC4A19FF1B}" name="Table6" displayName="Table6" ref="J2:J3" insertRow="1" totalsRowShown="0">
  <autoFilter ref="J2:J3" xr:uid="{C5FEE164-0F0C-4C94-B1F9-B6DC4A19FF1B}"/>
  <tableColumns count="1">
    <tableColumn id="1" xr3:uid="{5C879322-DB4A-4F70-AA80-6955D2E34DAE}"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CAD1EE-FC5A-43F6-B682-1777839CA8B1}" name="Raw_Sales_Data__2" displayName="Raw_Sales_Data__2" ref="A1:B5" tableType="queryTable" totalsRowShown="0">
  <autoFilter ref="A1:B5" xr:uid="{10CAD1EE-FC5A-43F6-B682-1777839CA8B1}"/>
  <tableColumns count="2">
    <tableColumn id="1" xr3:uid="{6C777DBF-5FA1-4C4B-BD15-3E26D934B1EF}" uniqueName="1" name="Sales_Region" queryTableFieldId="1" dataDxfId="7"/>
    <tableColumn id="2" xr3:uid="{B56EC783-451D-4FD7-AC59-4C867EA66C8A}" uniqueName="2" name="Order_ID" queryTableFieldId="2"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73A87C-A9A8-41DE-BA88-1B744A7DD8A1}" name="Raw_Sales_Data" displayName="Raw_Sales_Data" ref="A1:J105" tableType="queryTable" totalsRowShown="0">
  <autoFilter ref="A1:J105" xr:uid="{B173A87C-A9A8-41DE-BA88-1B744A7DD8A1}"/>
  <tableColumns count="10">
    <tableColumn id="1" xr3:uid="{3B09D0B5-B89B-4FE1-82EA-DCE84090499D}" uniqueName="1" name="Order_ID" queryTableFieldId="1" dataDxfId="5"/>
    <tableColumn id="2" xr3:uid="{6DF08DBF-96BB-44CE-A163-68A665F3BA9C}" uniqueName="2" name="Customer_Name" queryTableFieldId="2" dataDxfId="4"/>
    <tableColumn id="3" xr3:uid="{6ECE006C-27FB-4D74-B05D-516BB26151D4}" uniqueName="3" name="Product_Item" queryTableFieldId="3" dataDxfId="3"/>
    <tableColumn id="4" xr3:uid="{654B435A-4099-4A4A-919D-5659A3437651}" uniqueName="4" name="Category_Type" queryTableFieldId="4" dataDxfId="2"/>
    <tableColumn id="5" xr3:uid="{B305BC5D-C052-468D-A5EE-1792F2EA33D4}" uniqueName="5" name="Order Date" queryTableFieldId="5" dataDxfId="0"/>
    <tableColumn id="6" xr3:uid="{969FF346-60F2-42C4-B9D7-C5E5F8571B67}" uniqueName="6" name="Sales_Region" queryTableFieldId="6" dataDxfId="1"/>
    <tableColumn id="7" xr3:uid="{4A653D5C-125A-48AB-AF47-35D6EB2A88F1}" uniqueName="7" name="Qty" queryTableFieldId="7"/>
    <tableColumn id="8" xr3:uid="{08DB6851-2FA5-4521-9B00-3FA22B55377A}" uniqueName="8" name="Unit_Price" queryTableFieldId="8"/>
    <tableColumn id="9" xr3:uid="{D06E01DF-CB3D-4A81-B4A9-C7E4B2E78DC4}" uniqueName="9" name="Total_Sales" queryTableFieldId="9"/>
    <tableColumn id="11" xr3:uid="{3034D4AE-F338-49A0-98C6-F5EE9F0B93CF}" uniqueName="11" name="Month_na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10" Type="http://schemas.microsoft.com/office/2007/relationships/slicer" Target="../slicers/slicer1.xml"/><Relationship Id="rId4" Type="http://schemas.openxmlformats.org/officeDocument/2006/relationships/pivotTable" Target="../pivotTables/pivotTable8.xml"/><Relationship Id="rId9"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A0C0-459D-48B0-A99B-DB60C501C509}">
  <dimension ref="A1:Q105"/>
  <sheetViews>
    <sheetView topLeftCell="D1" workbookViewId="0">
      <selection activeCell="P6" sqref="P6"/>
    </sheetView>
  </sheetViews>
  <sheetFormatPr defaultRowHeight="14.5" x14ac:dyDescent="0.35"/>
  <cols>
    <col min="1" max="1" width="13.90625" bestFit="1" customWidth="1"/>
    <col min="2" max="2" width="12.54296875" bestFit="1" customWidth="1"/>
    <col min="10" max="10" width="10.453125" customWidth="1"/>
    <col min="16" max="16" width="12.453125" bestFit="1" customWidth="1"/>
    <col min="17" max="17" width="16.54296875" bestFit="1" customWidth="1"/>
  </cols>
  <sheetData>
    <row r="1" spans="1:17" x14ac:dyDescent="0.35">
      <c r="A1" t="s">
        <v>179</v>
      </c>
      <c r="B1" t="s">
        <v>8</v>
      </c>
    </row>
    <row r="2" spans="1:17" x14ac:dyDescent="0.35">
      <c r="A2" t="s">
        <v>180</v>
      </c>
      <c r="B2">
        <v>35</v>
      </c>
      <c r="J2" t="s">
        <v>178</v>
      </c>
    </row>
    <row r="3" spans="1:17" x14ac:dyDescent="0.35">
      <c r="A3" t="s">
        <v>181</v>
      </c>
      <c r="B3">
        <v>7254</v>
      </c>
      <c r="N3" s="15" t="e" vm="1">
        <v>#VALUE!</v>
      </c>
    </row>
    <row r="4" spans="1:17" x14ac:dyDescent="0.35">
      <c r="A4" t="s">
        <v>182</v>
      </c>
      <c r="B4">
        <v>686</v>
      </c>
    </row>
    <row r="5" spans="1:17" x14ac:dyDescent="0.35">
      <c r="A5" t="s">
        <v>183</v>
      </c>
      <c r="B5">
        <v>108</v>
      </c>
    </row>
    <row r="6" spans="1:17" x14ac:dyDescent="0.35">
      <c r="A6" t="s">
        <v>184</v>
      </c>
      <c r="B6">
        <v>9552</v>
      </c>
      <c r="P6" s="1" t="s">
        <v>171</v>
      </c>
      <c r="Q6" t="s">
        <v>174</v>
      </c>
    </row>
    <row r="7" spans="1:17" x14ac:dyDescent="0.35">
      <c r="A7" t="s">
        <v>185</v>
      </c>
      <c r="B7">
        <v>2464</v>
      </c>
      <c r="P7" s="2" t="s">
        <v>181</v>
      </c>
      <c r="Q7" s="5">
        <v>33864</v>
      </c>
    </row>
    <row r="8" spans="1:17" x14ac:dyDescent="0.35">
      <c r="A8" t="s">
        <v>180</v>
      </c>
      <c r="B8">
        <v>9584</v>
      </c>
      <c r="H8" s="6"/>
      <c r="I8" s="7"/>
      <c r="J8" s="8"/>
      <c r="P8" s="2" t="s">
        <v>183</v>
      </c>
      <c r="Q8" s="5">
        <v>28274</v>
      </c>
    </row>
    <row r="9" spans="1:17" x14ac:dyDescent="0.35">
      <c r="A9" t="s">
        <v>186</v>
      </c>
      <c r="B9">
        <v>0</v>
      </c>
      <c r="H9" s="9"/>
      <c r="I9" s="10"/>
      <c r="J9" s="11"/>
      <c r="L9" s="6"/>
      <c r="M9" s="7"/>
      <c r="N9" s="8"/>
      <c r="P9" s="2" t="s">
        <v>190</v>
      </c>
      <c r="Q9" s="5">
        <v>26449</v>
      </c>
    </row>
    <row r="10" spans="1:17" x14ac:dyDescent="0.35">
      <c r="A10" t="s">
        <v>181</v>
      </c>
      <c r="B10">
        <v>10854</v>
      </c>
      <c r="H10" s="9"/>
      <c r="I10" s="10"/>
      <c r="J10" s="11"/>
      <c r="L10" s="9"/>
      <c r="M10" s="10"/>
      <c r="N10" s="11"/>
      <c r="P10" s="2" t="s">
        <v>185</v>
      </c>
      <c r="Q10" s="5">
        <v>26273</v>
      </c>
    </row>
    <row r="11" spans="1:17" x14ac:dyDescent="0.35">
      <c r="A11" t="s">
        <v>187</v>
      </c>
      <c r="B11">
        <v>22</v>
      </c>
      <c r="H11" s="9"/>
      <c r="I11" s="10"/>
      <c r="J11" s="11"/>
      <c r="L11" s="9"/>
      <c r="M11" s="10"/>
      <c r="N11" s="11"/>
      <c r="P11" s="2" t="s">
        <v>186</v>
      </c>
      <c r="Q11" s="5">
        <v>18454</v>
      </c>
    </row>
    <row r="12" spans="1:17" x14ac:dyDescent="0.35">
      <c r="A12" t="s">
        <v>184</v>
      </c>
      <c r="B12">
        <v>220</v>
      </c>
      <c r="H12" s="9"/>
      <c r="I12" s="10"/>
      <c r="J12" s="11"/>
      <c r="L12" s="9"/>
      <c r="M12" s="10"/>
      <c r="N12" s="11"/>
      <c r="P12" s="2" t="s">
        <v>180</v>
      </c>
      <c r="Q12" s="5">
        <v>17153</v>
      </c>
    </row>
    <row r="13" spans="1:17" x14ac:dyDescent="0.35">
      <c r="A13" t="s">
        <v>187</v>
      </c>
      <c r="B13">
        <v>700</v>
      </c>
      <c r="H13" s="9"/>
      <c r="I13" s="10"/>
      <c r="J13" s="11"/>
      <c r="L13" s="9"/>
      <c r="M13" s="10"/>
      <c r="N13" s="11"/>
      <c r="P13" s="2" t="s">
        <v>187</v>
      </c>
      <c r="Q13" s="5">
        <v>12271</v>
      </c>
    </row>
    <row r="14" spans="1:17" x14ac:dyDescent="0.35">
      <c r="A14" t="s">
        <v>186</v>
      </c>
      <c r="B14">
        <v>64</v>
      </c>
      <c r="H14" s="9"/>
      <c r="I14" s="10"/>
      <c r="J14" s="11"/>
      <c r="L14" s="9"/>
      <c r="M14" s="10"/>
      <c r="N14" s="11"/>
      <c r="P14" s="2" t="s">
        <v>188</v>
      </c>
      <c r="Q14" s="5">
        <v>11352</v>
      </c>
    </row>
    <row r="15" spans="1:17" x14ac:dyDescent="0.35">
      <c r="A15" t="s">
        <v>187</v>
      </c>
      <c r="B15">
        <v>203</v>
      </c>
      <c r="H15" s="9"/>
      <c r="I15" s="10"/>
      <c r="J15" s="11"/>
      <c r="L15" s="9"/>
      <c r="M15" s="10"/>
      <c r="N15" s="11"/>
      <c r="P15" s="2" t="s">
        <v>184</v>
      </c>
      <c r="Q15" s="5">
        <v>10041</v>
      </c>
    </row>
    <row r="16" spans="1:17" x14ac:dyDescent="0.35">
      <c r="A16" t="s">
        <v>185</v>
      </c>
      <c r="B16">
        <v>3560</v>
      </c>
      <c r="H16" s="9"/>
      <c r="I16" s="10"/>
      <c r="J16" s="11"/>
      <c r="L16" s="9"/>
      <c r="M16" s="10"/>
      <c r="N16" s="11"/>
      <c r="P16" s="2" t="s">
        <v>189</v>
      </c>
      <c r="Q16" s="5">
        <v>8324</v>
      </c>
    </row>
    <row r="17" spans="1:17" x14ac:dyDescent="0.35">
      <c r="A17" t="s">
        <v>188</v>
      </c>
      <c r="B17">
        <v>0</v>
      </c>
      <c r="H17" s="9"/>
      <c r="I17" s="10"/>
      <c r="J17" s="11"/>
      <c r="L17" s="9"/>
      <c r="M17" s="10"/>
      <c r="N17" s="11"/>
      <c r="P17" s="2" t="s">
        <v>191</v>
      </c>
      <c r="Q17" s="5">
        <v>4459</v>
      </c>
    </row>
    <row r="18" spans="1:17" x14ac:dyDescent="0.35">
      <c r="A18" t="s">
        <v>185</v>
      </c>
      <c r="B18">
        <v>188</v>
      </c>
      <c r="H18" s="9"/>
      <c r="I18" s="10"/>
      <c r="J18" s="11"/>
      <c r="L18" s="9"/>
      <c r="M18" s="10"/>
      <c r="N18" s="11"/>
      <c r="P18" s="2" t="s">
        <v>182</v>
      </c>
      <c r="Q18" s="5">
        <v>2363</v>
      </c>
    </row>
    <row r="19" spans="1:17" x14ac:dyDescent="0.35">
      <c r="A19" t="s">
        <v>188</v>
      </c>
      <c r="B19">
        <v>288</v>
      </c>
      <c r="H19" s="9"/>
      <c r="I19" s="10"/>
      <c r="J19" s="11"/>
      <c r="L19" s="9"/>
      <c r="M19" s="10"/>
      <c r="N19" s="11"/>
      <c r="P19" s="2" t="s">
        <v>172</v>
      </c>
      <c r="Q19" s="5">
        <v>199277</v>
      </c>
    </row>
    <row r="20" spans="1:17" x14ac:dyDescent="0.35">
      <c r="A20" t="s">
        <v>188</v>
      </c>
      <c r="B20">
        <v>115</v>
      </c>
      <c r="H20" s="9"/>
      <c r="I20" s="10"/>
      <c r="J20" s="11"/>
      <c r="L20" s="9"/>
      <c r="M20" s="10"/>
      <c r="N20" s="11"/>
    </row>
    <row r="21" spans="1:17" x14ac:dyDescent="0.35">
      <c r="A21" t="s">
        <v>183</v>
      </c>
      <c r="B21">
        <v>1194</v>
      </c>
      <c r="H21" s="9"/>
      <c r="I21" s="10"/>
      <c r="J21" s="11"/>
      <c r="L21" s="9"/>
      <c r="M21" s="10"/>
      <c r="N21" s="11"/>
    </row>
    <row r="22" spans="1:17" x14ac:dyDescent="0.35">
      <c r="A22" t="s">
        <v>189</v>
      </c>
      <c r="B22">
        <v>168</v>
      </c>
      <c r="H22" s="9"/>
      <c r="I22" s="10"/>
      <c r="J22" s="11"/>
      <c r="L22" s="9"/>
      <c r="M22" s="10"/>
      <c r="N22" s="11"/>
    </row>
    <row r="23" spans="1:17" x14ac:dyDescent="0.35">
      <c r="A23" t="s">
        <v>184</v>
      </c>
      <c r="B23">
        <v>72</v>
      </c>
      <c r="H23" s="9"/>
      <c r="I23" s="10"/>
      <c r="J23" s="11"/>
      <c r="L23" s="9"/>
      <c r="M23" s="10"/>
      <c r="N23" s="11"/>
    </row>
    <row r="24" spans="1:17" x14ac:dyDescent="0.35">
      <c r="A24" t="s">
        <v>190</v>
      </c>
      <c r="B24">
        <v>119</v>
      </c>
      <c r="H24" s="9"/>
      <c r="I24" s="10"/>
      <c r="J24" s="11"/>
      <c r="L24" s="9"/>
      <c r="M24" s="10"/>
      <c r="N24" s="11"/>
    </row>
    <row r="25" spans="1:17" x14ac:dyDescent="0.35">
      <c r="A25" t="s">
        <v>188</v>
      </c>
      <c r="B25">
        <v>546</v>
      </c>
      <c r="H25" s="12"/>
      <c r="I25" s="13"/>
      <c r="J25" s="14"/>
      <c r="L25" s="9"/>
      <c r="M25" s="10"/>
      <c r="N25" s="11"/>
    </row>
    <row r="26" spans="1:17" x14ac:dyDescent="0.35">
      <c r="A26" t="s">
        <v>184</v>
      </c>
      <c r="B26">
        <v>108</v>
      </c>
      <c r="L26" s="12"/>
      <c r="M26" s="13"/>
      <c r="N26" s="14"/>
    </row>
    <row r="27" spans="1:17" x14ac:dyDescent="0.35">
      <c r="A27" t="s">
        <v>185</v>
      </c>
      <c r="B27">
        <v>440</v>
      </c>
    </row>
    <row r="28" spans="1:17" x14ac:dyDescent="0.35">
      <c r="A28" t="s">
        <v>180</v>
      </c>
      <c r="B28">
        <v>1388</v>
      </c>
    </row>
    <row r="29" spans="1:17" x14ac:dyDescent="0.35">
      <c r="A29" t="s">
        <v>190</v>
      </c>
      <c r="B29">
        <v>343</v>
      </c>
    </row>
    <row r="30" spans="1:17" x14ac:dyDescent="0.35">
      <c r="A30" t="s">
        <v>182</v>
      </c>
      <c r="B30">
        <v>0</v>
      </c>
    </row>
    <row r="31" spans="1:17" x14ac:dyDescent="0.35">
      <c r="A31" t="s">
        <v>189</v>
      </c>
      <c r="B31">
        <v>1368</v>
      </c>
    </row>
    <row r="32" spans="1:17" x14ac:dyDescent="0.35">
      <c r="A32" t="s">
        <v>186</v>
      </c>
      <c r="B32">
        <v>9568</v>
      </c>
    </row>
    <row r="33" spans="1:2" x14ac:dyDescent="0.35">
      <c r="A33" t="s">
        <v>190</v>
      </c>
      <c r="B33">
        <v>12050</v>
      </c>
    </row>
    <row r="34" spans="1:2" x14ac:dyDescent="0.35">
      <c r="A34" t="s">
        <v>181</v>
      </c>
      <c r="B34">
        <v>0</v>
      </c>
    </row>
    <row r="35" spans="1:2" x14ac:dyDescent="0.35">
      <c r="A35" t="s">
        <v>187</v>
      </c>
      <c r="B35">
        <v>8344</v>
      </c>
    </row>
    <row r="36" spans="1:2" x14ac:dyDescent="0.35">
      <c r="A36" t="s">
        <v>180</v>
      </c>
      <c r="B36">
        <v>270</v>
      </c>
    </row>
    <row r="37" spans="1:2" x14ac:dyDescent="0.35">
      <c r="A37" t="s">
        <v>191</v>
      </c>
      <c r="B37">
        <v>0</v>
      </c>
    </row>
    <row r="38" spans="1:2" x14ac:dyDescent="0.35">
      <c r="A38" t="s">
        <v>188</v>
      </c>
      <c r="B38">
        <v>1203</v>
      </c>
    </row>
    <row r="39" spans="1:2" x14ac:dyDescent="0.35">
      <c r="A39" t="s">
        <v>188</v>
      </c>
      <c r="B39">
        <v>1785</v>
      </c>
    </row>
    <row r="40" spans="1:2" x14ac:dyDescent="0.35">
      <c r="A40" t="s">
        <v>185</v>
      </c>
      <c r="B40">
        <v>510</v>
      </c>
    </row>
    <row r="41" spans="1:2" x14ac:dyDescent="0.35">
      <c r="A41" t="s">
        <v>191</v>
      </c>
      <c r="B41">
        <v>656</v>
      </c>
    </row>
    <row r="42" spans="1:2" x14ac:dyDescent="0.35">
      <c r="A42" t="s">
        <v>187</v>
      </c>
      <c r="B42">
        <v>801</v>
      </c>
    </row>
    <row r="43" spans="1:2" x14ac:dyDescent="0.35">
      <c r="A43" t="s">
        <v>188</v>
      </c>
      <c r="B43">
        <v>162</v>
      </c>
    </row>
    <row r="44" spans="1:2" x14ac:dyDescent="0.35">
      <c r="A44" t="s">
        <v>189</v>
      </c>
      <c r="B44">
        <v>2416</v>
      </c>
    </row>
    <row r="45" spans="1:2" x14ac:dyDescent="0.35">
      <c r="A45" t="s">
        <v>190</v>
      </c>
      <c r="B45">
        <v>5985</v>
      </c>
    </row>
    <row r="46" spans="1:2" x14ac:dyDescent="0.35">
      <c r="A46" t="s">
        <v>190</v>
      </c>
      <c r="B46">
        <v>0</v>
      </c>
    </row>
    <row r="47" spans="1:2" x14ac:dyDescent="0.35">
      <c r="A47" t="s">
        <v>185</v>
      </c>
      <c r="B47">
        <v>6020</v>
      </c>
    </row>
    <row r="48" spans="1:2" x14ac:dyDescent="0.35">
      <c r="A48" t="s">
        <v>188</v>
      </c>
      <c r="B48">
        <v>165</v>
      </c>
    </row>
    <row r="49" spans="1:2" x14ac:dyDescent="0.35">
      <c r="A49" t="s">
        <v>182</v>
      </c>
      <c r="B49">
        <v>358</v>
      </c>
    </row>
    <row r="50" spans="1:2" x14ac:dyDescent="0.35">
      <c r="A50" t="s">
        <v>182</v>
      </c>
      <c r="B50">
        <v>0</v>
      </c>
    </row>
    <row r="51" spans="1:2" x14ac:dyDescent="0.35">
      <c r="A51" t="s">
        <v>183</v>
      </c>
      <c r="B51">
        <v>7212</v>
      </c>
    </row>
    <row r="52" spans="1:2" x14ac:dyDescent="0.35">
      <c r="A52" t="s">
        <v>180</v>
      </c>
      <c r="B52">
        <v>190</v>
      </c>
    </row>
    <row r="53" spans="1:2" x14ac:dyDescent="0.35">
      <c r="A53" t="s">
        <v>185</v>
      </c>
      <c r="B53">
        <v>3177</v>
      </c>
    </row>
    <row r="54" spans="1:2" x14ac:dyDescent="0.35">
      <c r="A54" t="s">
        <v>191</v>
      </c>
      <c r="B54">
        <v>0</v>
      </c>
    </row>
    <row r="55" spans="1:2" x14ac:dyDescent="0.35">
      <c r="A55" t="s">
        <v>190</v>
      </c>
      <c r="B55">
        <v>0</v>
      </c>
    </row>
    <row r="56" spans="1:2" x14ac:dyDescent="0.35">
      <c r="A56" t="s">
        <v>181</v>
      </c>
      <c r="B56">
        <v>0</v>
      </c>
    </row>
    <row r="57" spans="1:2" x14ac:dyDescent="0.35">
      <c r="A57" t="s">
        <v>182</v>
      </c>
      <c r="B57">
        <v>696</v>
      </c>
    </row>
    <row r="58" spans="1:2" x14ac:dyDescent="0.35">
      <c r="A58" t="s">
        <v>180</v>
      </c>
      <c r="B58">
        <v>0</v>
      </c>
    </row>
    <row r="59" spans="1:2" x14ac:dyDescent="0.35">
      <c r="A59" t="s">
        <v>186</v>
      </c>
      <c r="B59">
        <v>7164</v>
      </c>
    </row>
    <row r="60" spans="1:2" x14ac:dyDescent="0.35">
      <c r="A60" t="s">
        <v>188</v>
      </c>
      <c r="B60">
        <v>120</v>
      </c>
    </row>
    <row r="61" spans="1:2" x14ac:dyDescent="0.35">
      <c r="A61" t="s">
        <v>191</v>
      </c>
      <c r="B61">
        <v>2816</v>
      </c>
    </row>
    <row r="62" spans="1:2" x14ac:dyDescent="0.35">
      <c r="A62" t="s">
        <v>180</v>
      </c>
      <c r="B62">
        <v>0</v>
      </c>
    </row>
    <row r="63" spans="1:2" x14ac:dyDescent="0.35">
      <c r="A63" t="s">
        <v>180</v>
      </c>
      <c r="B63">
        <v>440</v>
      </c>
    </row>
    <row r="64" spans="1:2" x14ac:dyDescent="0.35">
      <c r="A64" t="s">
        <v>186</v>
      </c>
      <c r="B64">
        <v>154</v>
      </c>
    </row>
    <row r="65" spans="1:2" x14ac:dyDescent="0.35">
      <c r="A65" t="s">
        <v>188</v>
      </c>
      <c r="B65">
        <v>1800</v>
      </c>
    </row>
    <row r="66" spans="1:2" x14ac:dyDescent="0.35">
      <c r="A66" t="s">
        <v>180</v>
      </c>
      <c r="B66">
        <v>0</v>
      </c>
    </row>
    <row r="67" spans="1:2" x14ac:dyDescent="0.35">
      <c r="A67" t="s">
        <v>190</v>
      </c>
      <c r="B67">
        <v>230</v>
      </c>
    </row>
    <row r="68" spans="1:2" x14ac:dyDescent="0.35">
      <c r="A68" t="s">
        <v>188</v>
      </c>
      <c r="B68">
        <v>0</v>
      </c>
    </row>
    <row r="69" spans="1:2" x14ac:dyDescent="0.35">
      <c r="A69" t="s">
        <v>183</v>
      </c>
      <c r="B69">
        <v>4788</v>
      </c>
    </row>
    <row r="70" spans="1:2" x14ac:dyDescent="0.35">
      <c r="A70" t="s">
        <v>186</v>
      </c>
      <c r="B70">
        <v>82</v>
      </c>
    </row>
    <row r="71" spans="1:2" x14ac:dyDescent="0.35">
      <c r="A71" t="s">
        <v>181</v>
      </c>
      <c r="B71">
        <v>3560</v>
      </c>
    </row>
    <row r="72" spans="1:2" x14ac:dyDescent="0.35">
      <c r="A72" t="s">
        <v>187</v>
      </c>
      <c r="B72">
        <v>1044</v>
      </c>
    </row>
    <row r="73" spans="1:2" x14ac:dyDescent="0.35">
      <c r="A73" t="s">
        <v>182</v>
      </c>
      <c r="B73">
        <v>623</v>
      </c>
    </row>
    <row r="74" spans="1:2" x14ac:dyDescent="0.35">
      <c r="A74" t="s">
        <v>183</v>
      </c>
      <c r="B74">
        <v>552</v>
      </c>
    </row>
    <row r="75" spans="1:2" x14ac:dyDescent="0.35">
      <c r="A75" t="s">
        <v>189</v>
      </c>
      <c r="B75">
        <v>714</v>
      </c>
    </row>
    <row r="76" spans="1:2" x14ac:dyDescent="0.35">
      <c r="A76" t="s">
        <v>191</v>
      </c>
      <c r="B76">
        <v>0</v>
      </c>
    </row>
    <row r="77" spans="1:2" x14ac:dyDescent="0.35">
      <c r="A77" t="s">
        <v>181</v>
      </c>
      <c r="B77">
        <v>11910</v>
      </c>
    </row>
    <row r="78" spans="1:2" x14ac:dyDescent="0.35">
      <c r="A78" t="s">
        <v>190</v>
      </c>
      <c r="B78">
        <v>7194</v>
      </c>
    </row>
    <row r="79" spans="1:2" x14ac:dyDescent="0.35">
      <c r="A79" t="s">
        <v>185</v>
      </c>
      <c r="B79">
        <v>9560</v>
      </c>
    </row>
    <row r="80" spans="1:2" x14ac:dyDescent="0.35">
      <c r="A80" t="s">
        <v>187</v>
      </c>
      <c r="B80">
        <v>950</v>
      </c>
    </row>
    <row r="81" spans="1:2" x14ac:dyDescent="0.35">
      <c r="A81" t="s">
        <v>191</v>
      </c>
      <c r="B81">
        <v>168</v>
      </c>
    </row>
    <row r="82" spans="1:2" x14ac:dyDescent="0.35">
      <c r="A82" t="s">
        <v>183</v>
      </c>
      <c r="B82">
        <v>2420</v>
      </c>
    </row>
    <row r="83" spans="1:2" x14ac:dyDescent="0.35">
      <c r="A83" t="s">
        <v>180</v>
      </c>
      <c r="B83">
        <v>2094</v>
      </c>
    </row>
    <row r="84" spans="1:2" x14ac:dyDescent="0.35">
      <c r="A84" t="s">
        <v>180</v>
      </c>
      <c r="B84">
        <v>93</v>
      </c>
    </row>
    <row r="85" spans="1:2" x14ac:dyDescent="0.35">
      <c r="A85" t="s">
        <v>188</v>
      </c>
      <c r="B85">
        <v>4816</v>
      </c>
    </row>
    <row r="86" spans="1:2" x14ac:dyDescent="0.35">
      <c r="A86" t="s">
        <v>180</v>
      </c>
      <c r="B86">
        <v>2513</v>
      </c>
    </row>
    <row r="87" spans="1:2" x14ac:dyDescent="0.35">
      <c r="A87" t="s">
        <v>180</v>
      </c>
      <c r="B87">
        <v>546</v>
      </c>
    </row>
    <row r="88" spans="1:2" x14ac:dyDescent="0.35">
      <c r="A88" t="s">
        <v>185</v>
      </c>
      <c r="B88">
        <v>184</v>
      </c>
    </row>
    <row r="89" spans="1:2" x14ac:dyDescent="0.35">
      <c r="A89" t="s">
        <v>186</v>
      </c>
      <c r="B89">
        <v>132</v>
      </c>
    </row>
    <row r="90" spans="1:2" x14ac:dyDescent="0.35">
      <c r="A90" t="s">
        <v>189</v>
      </c>
      <c r="B90">
        <v>192</v>
      </c>
    </row>
    <row r="91" spans="1:2" x14ac:dyDescent="0.35">
      <c r="A91" t="s">
        <v>189</v>
      </c>
      <c r="B91">
        <v>40</v>
      </c>
    </row>
    <row r="92" spans="1:2" x14ac:dyDescent="0.35">
      <c r="A92" t="s">
        <v>188</v>
      </c>
      <c r="B92">
        <v>102</v>
      </c>
    </row>
    <row r="93" spans="1:2" x14ac:dyDescent="0.35">
      <c r="A93" t="s">
        <v>186</v>
      </c>
      <c r="B93">
        <v>600</v>
      </c>
    </row>
    <row r="94" spans="1:2" x14ac:dyDescent="0.35">
      <c r="A94" t="s">
        <v>189</v>
      </c>
      <c r="B94">
        <v>2720</v>
      </c>
    </row>
    <row r="95" spans="1:2" x14ac:dyDescent="0.35">
      <c r="A95" t="s">
        <v>191</v>
      </c>
      <c r="B95">
        <v>819</v>
      </c>
    </row>
    <row r="96" spans="1:2" x14ac:dyDescent="0.35">
      <c r="A96" t="s">
        <v>183</v>
      </c>
      <c r="B96">
        <v>12000</v>
      </c>
    </row>
    <row r="97" spans="1:2" x14ac:dyDescent="0.35">
      <c r="A97" t="s">
        <v>181</v>
      </c>
      <c r="B97">
        <v>16</v>
      </c>
    </row>
    <row r="98" spans="1:2" x14ac:dyDescent="0.35">
      <c r="A98" t="s">
        <v>189</v>
      </c>
      <c r="B98">
        <v>706</v>
      </c>
    </row>
    <row r="99" spans="1:2" x14ac:dyDescent="0.35">
      <c r="A99" t="s">
        <v>186</v>
      </c>
      <c r="B99">
        <v>690</v>
      </c>
    </row>
    <row r="100" spans="1:2" x14ac:dyDescent="0.35">
      <c r="A100" t="s">
        <v>190</v>
      </c>
      <c r="B100">
        <v>528</v>
      </c>
    </row>
    <row r="101" spans="1:2" x14ac:dyDescent="0.35">
      <c r="A101" t="s">
        <v>184</v>
      </c>
      <c r="B101">
        <v>89</v>
      </c>
    </row>
    <row r="102" spans="1:2" x14ac:dyDescent="0.35">
      <c r="A102" t="s">
        <v>187</v>
      </c>
      <c r="B102">
        <v>207</v>
      </c>
    </row>
    <row r="103" spans="1:2" x14ac:dyDescent="0.35">
      <c r="A103" t="s">
        <v>185</v>
      </c>
      <c r="B103">
        <v>170</v>
      </c>
    </row>
    <row r="104" spans="1:2" x14ac:dyDescent="0.35">
      <c r="A104" t="s">
        <v>181</v>
      </c>
      <c r="B104">
        <v>270</v>
      </c>
    </row>
    <row r="105" spans="1:2" x14ac:dyDescent="0.35">
      <c r="A105" t="s">
        <v>188</v>
      </c>
      <c r="B105">
        <v>250</v>
      </c>
    </row>
  </sheetData>
  <pageMargins left="0.7" right="0.7" top="0.75" bottom="0.75" header="0.3" footer="0.3"/>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62C7-7D03-41D5-9C5E-054BB4BCCC46}">
  <dimension ref="A1:S45"/>
  <sheetViews>
    <sheetView topLeftCell="BX1" zoomScale="76" workbookViewId="0">
      <selection activeCell="H8" sqref="H8"/>
    </sheetView>
  </sheetViews>
  <sheetFormatPr defaultRowHeight="14.5" x14ac:dyDescent="0.35"/>
  <cols>
    <col min="1" max="1" width="15.36328125" bestFit="1" customWidth="1"/>
    <col min="2" max="2" width="11.7265625" bestFit="1" customWidth="1"/>
    <col min="4" max="4" width="12.453125" bestFit="1" customWidth="1"/>
    <col min="5" max="5" width="18.6328125" bestFit="1" customWidth="1"/>
    <col min="6" max="6" width="16" bestFit="1" customWidth="1"/>
    <col min="10" max="10" width="13.7265625" bestFit="1" customWidth="1"/>
    <col min="11" max="11" width="13.6328125" bestFit="1" customWidth="1"/>
    <col min="15" max="15" width="18.6328125" bestFit="1" customWidth="1"/>
    <col min="16" max="16" width="10.1796875" bestFit="1" customWidth="1"/>
    <col min="18" max="18" width="18.6328125" bestFit="1" customWidth="1"/>
    <col min="19" max="19" width="7.54296875" bestFit="1" customWidth="1"/>
  </cols>
  <sheetData>
    <row r="1" spans="1:19" x14ac:dyDescent="0.35">
      <c r="A1" t="s">
        <v>5</v>
      </c>
      <c r="B1" t="s">
        <v>0</v>
      </c>
    </row>
    <row r="2" spans="1:19" x14ac:dyDescent="0.35">
      <c r="A2" t="s">
        <v>13</v>
      </c>
      <c r="B2" t="s">
        <v>9</v>
      </c>
    </row>
    <row r="3" spans="1:19" x14ac:dyDescent="0.35">
      <c r="A3" t="s">
        <v>17</v>
      </c>
      <c r="B3" t="s">
        <v>14</v>
      </c>
    </row>
    <row r="4" spans="1:19" x14ac:dyDescent="0.35">
      <c r="A4" t="s">
        <v>34</v>
      </c>
      <c r="B4" t="s">
        <v>33</v>
      </c>
    </row>
    <row r="5" spans="1:19" x14ac:dyDescent="0.35">
      <c r="A5" t="s">
        <v>38</v>
      </c>
      <c r="B5" t="s">
        <v>36</v>
      </c>
    </row>
    <row r="7" spans="1:19" x14ac:dyDescent="0.35">
      <c r="H7" s="15" t="e" vm="1">
        <v>#VALUE!</v>
      </c>
    </row>
    <row r="12" spans="1:19" x14ac:dyDescent="0.35">
      <c r="J12" s="1" t="s">
        <v>171</v>
      </c>
      <c r="K12" t="s">
        <v>174</v>
      </c>
      <c r="R12" s="1" t="s">
        <v>171</v>
      </c>
      <c r="S12" t="s">
        <v>177</v>
      </c>
    </row>
    <row r="13" spans="1:19" x14ac:dyDescent="0.35">
      <c r="E13" s="1" t="s">
        <v>171</v>
      </c>
      <c r="F13" t="s">
        <v>175</v>
      </c>
      <c r="J13" s="2" t="s">
        <v>34</v>
      </c>
      <c r="K13" s="5">
        <v>15676</v>
      </c>
      <c r="R13" s="2" t="s">
        <v>20</v>
      </c>
      <c r="S13" s="5">
        <v>1785</v>
      </c>
    </row>
    <row r="14" spans="1:19" x14ac:dyDescent="0.35">
      <c r="E14" s="2" t="s">
        <v>20</v>
      </c>
      <c r="F14" s="5">
        <v>357</v>
      </c>
      <c r="J14" s="2" t="s">
        <v>172</v>
      </c>
      <c r="K14" s="5">
        <v>15676</v>
      </c>
      <c r="O14" s="1" t="s">
        <v>171</v>
      </c>
      <c r="P14" t="s">
        <v>176</v>
      </c>
      <c r="R14" s="2" t="s">
        <v>16</v>
      </c>
      <c r="S14" s="5">
        <v>6000</v>
      </c>
    </row>
    <row r="15" spans="1:19" x14ac:dyDescent="0.35">
      <c r="E15" s="2" t="s">
        <v>16</v>
      </c>
      <c r="F15" s="5">
        <v>1200</v>
      </c>
      <c r="O15" s="2" t="s">
        <v>20</v>
      </c>
      <c r="P15" s="5">
        <v>5</v>
      </c>
      <c r="R15" s="2" t="s">
        <v>32</v>
      </c>
      <c r="S15" s="5">
        <v>639.5</v>
      </c>
    </row>
    <row r="16" spans="1:19" x14ac:dyDescent="0.35">
      <c r="E16" s="2" t="s">
        <v>32</v>
      </c>
      <c r="F16" s="5">
        <v>171</v>
      </c>
      <c r="O16" s="2" t="s">
        <v>16</v>
      </c>
      <c r="P16" s="5">
        <v>19</v>
      </c>
      <c r="R16" s="2" t="s">
        <v>11</v>
      </c>
      <c r="S16" s="5">
        <v>122.4</v>
      </c>
    </row>
    <row r="17" spans="5:19" x14ac:dyDescent="0.35">
      <c r="E17" s="2" t="s">
        <v>11</v>
      </c>
      <c r="F17" s="5">
        <v>126</v>
      </c>
      <c r="O17" s="2" t="s">
        <v>32</v>
      </c>
      <c r="P17" s="5">
        <v>15</v>
      </c>
      <c r="R17" s="2" t="s">
        <v>172</v>
      </c>
      <c r="S17" s="5">
        <v>1567.6</v>
      </c>
    </row>
    <row r="18" spans="5:19" x14ac:dyDescent="0.35">
      <c r="E18" s="2" t="s">
        <v>172</v>
      </c>
      <c r="F18" s="5">
        <v>1854</v>
      </c>
      <c r="O18" s="2" t="s">
        <v>11</v>
      </c>
      <c r="P18" s="5">
        <v>26</v>
      </c>
    </row>
    <row r="19" spans="5:19" x14ac:dyDescent="0.35">
      <c r="O19" s="2" t="s">
        <v>172</v>
      </c>
      <c r="P19" s="5">
        <v>65</v>
      </c>
    </row>
    <row r="21" spans="5:19" x14ac:dyDescent="0.35">
      <c r="J21" s="1" t="s">
        <v>171</v>
      </c>
      <c r="K21" t="s">
        <v>173</v>
      </c>
    </row>
    <row r="22" spans="5:19" x14ac:dyDescent="0.35">
      <c r="J22" s="2" t="s">
        <v>23</v>
      </c>
      <c r="K22" s="3">
        <v>15676</v>
      </c>
    </row>
    <row r="23" spans="5:19" x14ac:dyDescent="0.35">
      <c r="J23" s="2" t="s">
        <v>172</v>
      </c>
      <c r="K23" s="3">
        <v>15676</v>
      </c>
    </row>
    <row r="28" spans="5:19" x14ac:dyDescent="0.35">
      <c r="O28" s="6"/>
      <c r="P28" s="7"/>
      <c r="Q28" s="8"/>
    </row>
    <row r="29" spans="5:19" x14ac:dyDescent="0.35">
      <c r="O29" s="9"/>
      <c r="P29" s="10"/>
      <c r="Q29" s="11"/>
    </row>
    <row r="30" spans="5:19" x14ac:dyDescent="0.35">
      <c r="O30" s="9"/>
      <c r="P30" s="10"/>
      <c r="Q30" s="11"/>
    </row>
    <row r="31" spans="5:19" x14ac:dyDescent="0.35">
      <c r="O31" s="9"/>
      <c r="P31" s="10"/>
      <c r="Q31" s="11"/>
    </row>
    <row r="32" spans="5:19" x14ac:dyDescent="0.35">
      <c r="O32" s="9"/>
      <c r="P32" s="10"/>
      <c r="Q32" s="11"/>
    </row>
    <row r="33" spans="15:17" x14ac:dyDescent="0.35">
      <c r="O33" s="9"/>
      <c r="P33" s="10"/>
      <c r="Q33" s="11"/>
    </row>
    <row r="34" spans="15:17" x14ac:dyDescent="0.35">
      <c r="O34" s="9"/>
      <c r="P34" s="10"/>
      <c r="Q34" s="11"/>
    </row>
    <row r="35" spans="15:17" x14ac:dyDescent="0.35">
      <c r="O35" s="9"/>
      <c r="P35" s="10"/>
      <c r="Q35" s="11"/>
    </row>
    <row r="36" spans="15:17" x14ac:dyDescent="0.35">
      <c r="O36" s="9"/>
      <c r="P36" s="10"/>
      <c r="Q36" s="11"/>
    </row>
    <row r="37" spans="15:17" x14ac:dyDescent="0.35">
      <c r="O37" s="9"/>
      <c r="P37" s="10"/>
      <c r="Q37" s="11"/>
    </row>
    <row r="38" spans="15:17" x14ac:dyDescent="0.35">
      <c r="O38" s="9"/>
      <c r="P38" s="10"/>
      <c r="Q38" s="11"/>
    </row>
    <row r="39" spans="15:17" x14ac:dyDescent="0.35">
      <c r="O39" s="9"/>
      <c r="P39" s="10"/>
      <c r="Q39" s="11"/>
    </row>
    <row r="40" spans="15:17" x14ac:dyDescent="0.35">
      <c r="O40" s="9"/>
      <c r="P40" s="10"/>
      <c r="Q40" s="11"/>
    </row>
    <row r="41" spans="15:17" x14ac:dyDescent="0.35">
      <c r="O41" s="9"/>
      <c r="P41" s="10"/>
      <c r="Q41" s="11"/>
    </row>
    <row r="42" spans="15:17" x14ac:dyDescent="0.35">
      <c r="O42" s="9"/>
      <c r="P42" s="10"/>
      <c r="Q42" s="11"/>
    </row>
    <row r="43" spans="15:17" x14ac:dyDescent="0.35">
      <c r="O43" s="9"/>
      <c r="P43" s="10"/>
      <c r="Q43" s="11"/>
    </row>
    <row r="44" spans="15:17" x14ac:dyDescent="0.35">
      <c r="O44" s="9"/>
      <c r="P44" s="10"/>
      <c r="Q44" s="11"/>
    </row>
    <row r="45" spans="15:17" x14ac:dyDescent="0.35">
      <c r="O45" s="12"/>
      <c r="P45" s="13"/>
      <c r="Q45" s="14"/>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B1F96-DDCF-4A71-9538-D9E02307CAA8}">
  <dimension ref="A1:J112"/>
  <sheetViews>
    <sheetView topLeftCell="M1" zoomScale="83" zoomScaleNormal="56" workbookViewId="0">
      <selection sqref="A1:J105"/>
    </sheetView>
  </sheetViews>
  <sheetFormatPr defaultRowHeight="14.5" x14ac:dyDescent="0.35"/>
  <cols>
    <col min="1" max="1" width="10.90625" bestFit="1" customWidth="1"/>
    <col min="2" max="2" width="17.54296875" bestFit="1" customWidth="1"/>
    <col min="3" max="3" width="18.1796875" bestFit="1" customWidth="1"/>
    <col min="4" max="4" width="15.6328125" bestFit="1" customWidth="1"/>
    <col min="5" max="5" width="12.54296875" bestFit="1" customWidth="1"/>
    <col min="6" max="6" width="14.453125" bestFit="1" customWidth="1"/>
    <col min="7" max="7" width="6.54296875" bestFit="1" customWidth="1"/>
    <col min="8" max="8" width="12.1796875" bestFit="1" customWidth="1"/>
    <col min="9" max="9" width="13" bestFit="1" customWidth="1"/>
    <col min="10" max="10" width="14.08984375" bestFit="1" customWidth="1"/>
    <col min="11" max="11" width="8.7265625" bestFit="1" customWidth="1"/>
  </cols>
  <sheetData>
    <row r="1" spans="1:10" x14ac:dyDescent="0.35">
      <c r="A1" t="s">
        <v>0</v>
      </c>
      <c r="B1" t="s">
        <v>1</v>
      </c>
      <c r="C1" t="s">
        <v>2</v>
      </c>
      <c r="D1" t="s">
        <v>3</v>
      </c>
      <c r="E1" t="s">
        <v>4</v>
      </c>
      <c r="F1" t="s">
        <v>5</v>
      </c>
      <c r="G1" t="s">
        <v>6</v>
      </c>
      <c r="H1" t="s">
        <v>7</v>
      </c>
      <c r="I1" t="s">
        <v>8</v>
      </c>
      <c r="J1" t="s">
        <v>179</v>
      </c>
    </row>
    <row r="2" spans="1:10" x14ac:dyDescent="0.35">
      <c r="A2" t="s">
        <v>9</v>
      </c>
      <c r="B2" t="s">
        <v>10</v>
      </c>
      <c r="C2" t="s">
        <v>11</v>
      </c>
      <c r="D2" t="s">
        <v>12</v>
      </c>
      <c r="E2" s="4">
        <v>45254</v>
      </c>
      <c r="F2" t="s">
        <v>13</v>
      </c>
      <c r="G2">
        <v>1</v>
      </c>
      <c r="H2">
        <v>35</v>
      </c>
      <c r="I2">
        <v>35</v>
      </c>
      <c r="J2" t="s">
        <v>180</v>
      </c>
    </row>
    <row r="3" spans="1:10" x14ac:dyDescent="0.35">
      <c r="A3" t="s">
        <v>14</v>
      </c>
      <c r="B3" t="s">
        <v>15</v>
      </c>
      <c r="C3" t="s">
        <v>16</v>
      </c>
      <c r="D3" t="s">
        <v>12</v>
      </c>
      <c r="E3" s="4">
        <v>45640</v>
      </c>
      <c r="F3" t="s">
        <v>17</v>
      </c>
      <c r="G3">
        <v>6</v>
      </c>
      <c r="H3">
        <v>1209</v>
      </c>
      <c r="I3">
        <v>7254</v>
      </c>
      <c r="J3" t="s">
        <v>181</v>
      </c>
    </row>
    <row r="4" spans="1:10" x14ac:dyDescent="0.35">
      <c r="A4" t="s">
        <v>18</v>
      </c>
      <c r="B4" t="s">
        <v>19</v>
      </c>
      <c r="C4" t="s">
        <v>20</v>
      </c>
      <c r="D4" t="s">
        <v>12</v>
      </c>
      <c r="E4" s="4">
        <v>45545</v>
      </c>
      <c r="F4" t="s">
        <v>13</v>
      </c>
      <c r="G4">
        <v>2</v>
      </c>
      <c r="H4">
        <v>343</v>
      </c>
      <c r="I4">
        <v>686</v>
      </c>
      <c r="J4" t="s">
        <v>182</v>
      </c>
    </row>
    <row r="5" spans="1:10" x14ac:dyDescent="0.35">
      <c r="A5" t="s">
        <v>21</v>
      </c>
      <c r="B5" t="s">
        <v>22</v>
      </c>
      <c r="C5" t="s">
        <v>11</v>
      </c>
      <c r="D5" t="s">
        <v>23</v>
      </c>
      <c r="E5" s="4">
        <v>45450</v>
      </c>
      <c r="F5" t="s">
        <v>13</v>
      </c>
      <c r="G5">
        <v>4</v>
      </c>
      <c r="H5">
        <v>27</v>
      </c>
      <c r="I5">
        <v>108</v>
      </c>
      <c r="J5" t="s">
        <v>183</v>
      </c>
    </row>
    <row r="6" spans="1:10" x14ac:dyDescent="0.35">
      <c r="A6" t="s">
        <v>24</v>
      </c>
      <c r="B6" t="s">
        <v>25</v>
      </c>
      <c r="C6" t="s">
        <v>16</v>
      </c>
      <c r="D6" t="s">
        <v>12</v>
      </c>
      <c r="E6" s="4">
        <v>45317</v>
      </c>
      <c r="F6" t="s">
        <v>17</v>
      </c>
      <c r="G6">
        <v>8</v>
      </c>
      <c r="H6">
        <v>1194</v>
      </c>
      <c r="I6">
        <v>9552</v>
      </c>
      <c r="J6" t="s">
        <v>184</v>
      </c>
    </row>
    <row r="7" spans="1:10" x14ac:dyDescent="0.35">
      <c r="A7" t="s">
        <v>26</v>
      </c>
      <c r="B7" t="s">
        <v>27</v>
      </c>
      <c r="C7" t="s">
        <v>20</v>
      </c>
      <c r="D7" t="s">
        <v>23</v>
      </c>
      <c r="E7" s="4">
        <v>45387</v>
      </c>
      <c r="F7" t="s">
        <v>13</v>
      </c>
      <c r="G7">
        <v>7</v>
      </c>
      <c r="H7">
        <v>352</v>
      </c>
      <c r="I7">
        <v>2464</v>
      </c>
      <c r="J7" t="s">
        <v>185</v>
      </c>
    </row>
    <row r="8" spans="1:10" x14ac:dyDescent="0.35">
      <c r="A8" t="s">
        <v>28</v>
      </c>
      <c r="B8" t="s">
        <v>29</v>
      </c>
      <c r="C8" t="s">
        <v>16</v>
      </c>
      <c r="D8" t="s">
        <v>12</v>
      </c>
      <c r="E8" s="4">
        <v>45614</v>
      </c>
      <c r="F8" t="s">
        <v>17</v>
      </c>
      <c r="G8">
        <v>8</v>
      </c>
      <c r="H8">
        <v>1198</v>
      </c>
      <c r="I8">
        <v>9584</v>
      </c>
      <c r="J8" t="s">
        <v>180</v>
      </c>
    </row>
    <row r="9" spans="1:10" x14ac:dyDescent="0.35">
      <c r="A9" t="s">
        <v>30</v>
      </c>
      <c r="B9" t="s">
        <v>31</v>
      </c>
      <c r="C9" t="s">
        <v>32</v>
      </c>
      <c r="D9" t="s">
        <v>12</v>
      </c>
      <c r="E9" s="4">
        <v>44997</v>
      </c>
      <c r="F9" t="s">
        <v>13</v>
      </c>
      <c r="G9">
        <v>2</v>
      </c>
      <c r="H9">
        <v>0</v>
      </c>
      <c r="I9">
        <v>0</v>
      </c>
      <c r="J9" t="s">
        <v>186</v>
      </c>
    </row>
    <row r="10" spans="1:10" x14ac:dyDescent="0.35">
      <c r="A10" t="s">
        <v>33</v>
      </c>
      <c r="B10" t="s">
        <v>25</v>
      </c>
      <c r="C10" t="s">
        <v>16</v>
      </c>
      <c r="D10" t="s">
        <v>12</v>
      </c>
      <c r="E10" s="4">
        <v>45276</v>
      </c>
      <c r="F10" t="s">
        <v>34</v>
      </c>
      <c r="G10">
        <v>9</v>
      </c>
      <c r="H10">
        <v>1206</v>
      </c>
      <c r="I10">
        <v>10854</v>
      </c>
      <c r="J10" t="s">
        <v>181</v>
      </c>
    </row>
    <row r="11" spans="1:10" x14ac:dyDescent="0.35">
      <c r="A11" t="s">
        <v>35</v>
      </c>
      <c r="B11" t="s">
        <v>15</v>
      </c>
      <c r="C11" t="s">
        <v>11</v>
      </c>
      <c r="D11" t="s">
        <v>23</v>
      </c>
      <c r="E11" s="4">
        <v>45495</v>
      </c>
      <c r="F11" t="s">
        <v>13</v>
      </c>
      <c r="G11">
        <v>1</v>
      </c>
      <c r="H11">
        <v>22</v>
      </c>
      <c r="I11">
        <v>22</v>
      </c>
      <c r="J11" t="s">
        <v>187</v>
      </c>
    </row>
    <row r="12" spans="1:10" x14ac:dyDescent="0.35">
      <c r="A12" t="s">
        <v>36</v>
      </c>
      <c r="B12" t="s">
        <v>37</v>
      </c>
      <c r="C12" t="s">
        <v>11</v>
      </c>
      <c r="D12" t="s">
        <v>12</v>
      </c>
      <c r="E12" s="4">
        <v>45319</v>
      </c>
      <c r="F12" t="s">
        <v>38</v>
      </c>
      <c r="G12">
        <v>10</v>
      </c>
      <c r="H12">
        <v>22</v>
      </c>
      <c r="I12">
        <v>220</v>
      </c>
      <c r="J12" t="s">
        <v>184</v>
      </c>
    </row>
    <row r="13" spans="1:10" x14ac:dyDescent="0.35">
      <c r="A13" t="s">
        <v>39</v>
      </c>
      <c r="B13" t="s">
        <v>40</v>
      </c>
      <c r="C13" t="s">
        <v>20</v>
      </c>
      <c r="D13" t="s">
        <v>23</v>
      </c>
      <c r="E13" s="4">
        <v>45487</v>
      </c>
      <c r="F13" t="s">
        <v>13</v>
      </c>
      <c r="G13">
        <v>2</v>
      </c>
      <c r="H13">
        <v>350</v>
      </c>
      <c r="I13">
        <v>700</v>
      </c>
      <c r="J13" t="s">
        <v>187</v>
      </c>
    </row>
    <row r="14" spans="1:10" x14ac:dyDescent="0.35">
      <c r="A14" t="s">
        <v>41</v>
      </c>
      <c r="B14" t="s">
        <v>42</v>
      </c>
      <c r="C14" t="s">
        <v>11</v>
      </c>
      <c r="D14" t="s">
        <v>23</v>
      </c>
      <c r="E14" s="4">
        <v>45360</v>
      </c>
      <c r="F14" t="s">
        <v>38</v>
      </c>
      <c r="G14">
        <v>2</v>
      </c>
      <c r="H14">
        <v>32</v>
      </c>
      <c r="I14">
        <v>64</v>
      </c>
      <c r="J14" t="s">
        <v>186</v>
      </c>
    </row>
    <row r="15" spans="1:10" x14ac:dyDescent="0.35">
      <c r="A15" t="s">
        <v>43</v>
      </c>
      <c r="B15" t="s">
        <v>44</v>
      </c>
      <c r="C15" t="s">
        <v>11</v>
      </c>
      <c r="D15" t="s">
        <v>12</v>
      </c>
      <c r="E15" s="4">
        <v>45489</v>
      </c>
      <c r="F15" t="s">
        <v>13</v>
      </c>
      <c r="G15">
        <v>7</v>
      </c>
      <c r="H15">
        <v>29</v>
      </c>
      <c r="I15">
        <v>203</v>
      </c>
      <c r="J15" t="s">
        <v>187</v>
      </c>
    </row>
    <row r="16" spans="1:10" x14ac:dyDescent="0.35">
      <c r="A16" t="s">
        <v>45</v>
      </c>
      <c r="B16" t="s">
        <v>46</v>
      </c>
      <c r="C16" t="s">
        <v>20</v>
      </c>
      <c r="D16" t="s">
        <v>12</v>
      </c>
      <c r="E16" s="4">
        <v>45026</v>
      </c>
      <c r="F16" t="s">
        <v>13</v>
      </c>
      <c r="G16">
        <v>10</v>
      </c>
      <c r="H16">
        <v>356</v>
      </c>
      <c r="I16">
        <v>3560</v>
      </c>
      <c r="J16" t="s">
        <v>185</v>
      </c>
    </row>
    <row r="17" spans="1:10" x14ac:dyDescent="0.35">
      <c r="A17" t="s">
        <v>47</v>
      </c>
      <c r="B17" t="s">
        <v>48</v>
      </c>
      <c r="C17" t="s">
        <v>16</v>
      </c>
      <c r="D17" t="s">
        <v>12</v>
      </c>
      <c r="E17" s="4">
        <v>44977</v>
      </c>
      <c r="F17" t="s">
        <v>13</v>
      </c>
      <c r="G17">
        <v>0</v>
      </c>
      <c r="H17">
        <v>1208</v>
      </c>
      <c r="I17">
        <v>0</v>
      </c>
      <c r="J17" t="s">
        <v>188</v>
      </c>
    </row>
    <row r="18" spans="1:10" x14ac:dyDescent="0.35">
      <c r="A18" t="s">
        <v>49</v>
      </c>
      <c r="B18" t="s">
        <v>44</v>
      </c>
      <c r="C18" t="s">
        <v>32</v>
      </c>
      <c r="D18" t="s">
        <v>23</v>
      </c>
      <c r="E18" s="4">
        <v>45404</v>
      </c>
      <c r="F18" t="s">
        <v>17</v>
      </c>
      <c r="G18">
        <v>2</v>
      </c>
      <c r="H18">
        <v>94</v>
      </c>
      <c r="I18">
        <v>188</v>
      </c>
      <c r="J18" t="s">
        <v>185</v>
      </c>
    </row>
    <row r="19" spans="1:10" x14ac:dyDescent="0.35">
      <c r="A19" t="s">
        <v>50</v>
      </c>
      <c r="B19" t="s">
        <v>51</v>
      </c>
      <c r="C19" t="s">
        <v>11</v>
      </c>
      <c r="D19" t="s">
        <v>23</v>
      </c>
      <c r="E19" s="4">
        <v>45330</v>
      </c>
      <c r="F19" t="s">
        <v>17</v>
      </c>
      <c r="G19">
        <v>9</v>
      </c>
      <c r="H19">
        <v>32</v>
      </c>
      <c r="I19">
        <v>288</v>
      </c>
      <c r="J19" t="s">
        <v>188</v>
      </c>
    </row>
    <row r="20" spans="1:10" x14ac:dyDescent="0.35">
      <c r="A20" t="s">
        <v>52</v>
      </c>
      <c r="B20" t="s">
        <v>53</v>
      </c>
      <c r="C20" t="s">
        <v>11</v>
      </c>
      <c r="D20" t="s">
        <v>23</v>
      </c>
      <c r="E20" s="4">
        <v>44961</v>
      </c>
      <c r="F20" t="s">
        <v>17</v>
      </c>
      <c r="G20">
        <v>5</v>
      </c>
      <c r="H20">
        <v>23</v>
      </c>
      <c r="I20">
        <v>115</v>
      </c>
      <c r="J20" t="s">
        <v>188</v>
      </c>
    </row>
    <row r="21" spans="1:10" x14ac:dyDescent="0.35">
      <c r="A21" t="s">
        <v>54</v>
      </c>
      <c r="B21" t="s">
        <v>44</v>
      </c>
      <c r="C21" t="s">
        <v>16</v>
      </c>
      <c r="D21" t="s">
        <v>12</v>
      </c>
      <c r="E21" s="4">
        <v>45102</v>
      </c>
      <c r="F21" t="s">
        <v>38</v>
      </c>
      <c r="G21">
        <v>1</v>
      </c>
      <c r="H21">
        <v>1194</v>
      </c>
      <c r="I21">
        <v>1194</v>
      </c>
      <c r="J21" t="s">
        <v>183</v>
      </c>
    </row>
    <row r="22" spans="1:10" x14ac:dyDescent="0.35">
      <c r="A22" t="s">
        <v>55</v>
      </c>
      <c r="B22" t="s">
        <v>56</v>
      </c>
      <c r="C22" t="s">
        <v>11</v>
      </c>
      <c r="D22" t="s">
        <v>12</v>
      </c>
      <c r="E22" s="4">
        <v>45058</v>
      </c>
      <c r="F22" t="s">
        <v>34</v>
      </c>
      <c r="G22">
        <v>6</v>
      </c>
      <c r="H22">
        <v>28</v>
      </c>
      <c r="I22">
        <v>168</v>
      </c>
      <c r="J22" t="s">
        <v>189</v>
      </c>
    </row>
    <row r="23" spans="1:10" x14ac:dyDescent="0.35">
      <c r="A23" t="s">
        <v>57</v>
      </c>
      <c r="B23" t="s">
        <v>58</v>
      </c>
      <c r="C23" t="s">
        <v>11</v>
      </c>
      <c r="D23" t="s">
        <v>23</v>
      </c>
      <c r="E23" s="4">
        <v>45297</v>
      </c>
      <c r="F23" t="s">
        <v>38</v>
      </c>
      <c r="G23">
        <v>4</v>
      </c>
      <c r="H23">
        <v>18</v>
      </c>
      <c r="I23">
        <v>72</v>
      </c>
      <c r="J23" t="s">
        <v>184</v>
      </c>
    </row>
    <row r="24" spans="1:10" x14ac:dyDescent="0.35">
      <c r="A24" t="s">
        <v>59</v>
      </c>
      <c r="B24" t="s">
        <v>60</v>
      </c>
      <c r="C24" t="s">
        <v>11</v>
      </c>
      <c r="D24" t="s">
        <v>12</v>
      </c>
      <c r="E24" s="4">
        <v>45516</v>
      </c>
      <c r="F24" t="s">
        <v>34</v>
      </c>
      <c r="G24">
        <v>7</v>
      </c>
      <c r="H24">
        <v>17</v>
      </c>
      <c r="I24">
        <v>119</v>
      </c>
      <c r="J24" t="s">
        <v>190</v>
      </c>
    </row>
    <row r="25" spans="1:10" x14ac:dyDescent="0.35">
      <c r="A25" t="s">
        <v>61</v>
      </c>
      <c r="B25" t="s">
        <v>62</v>
      </c>
      <c r="C25" t="s">
        <v>32</v>
      </c>
      <c r="D25" t="s">
        <v>12</v>
      </c>
      <c r="E25" s="4">
        <v>44966</v>
      </c>
      <c r="F25" t="s">
        <v>13</v>
      </c>
      <c r="G25">
        <v>6</v>
      </c>
      <c r="H25">
        <v>91</v>
      </c>
      <c r="I25">
        <v>546</v>
      </c>
      <c r="J25" t="s">
        <v>188</v>
      </c>
    </row>
    <row r="26" spans="1:10" x14ac:dyDescent="0.35">
      <c r="A26" t="s">
        <v>63</v>
      </c>
      <c r="B26" t="s">
        <v>64</v>
      </c>
      <c r="C26" t="s">
        <v>11</v>
      </c>
      <c r="D26" t="s">
        <v>23</v>
      </c>
      <c r="E26" s="4">
        <v>45314</v>
      </c>
      <c r="F26" t="s">
        <v>34</v>
      </c>
      <c r="G26">
        <v>6</v>
      </c>
      <c r="H26">
        <v>18</v>
      </c>
      <c r="I26">
        <v>108</v>
      </c>
      <c r="J26" t="s">
        <v>184</v>
      </c>
    </row>
    <row r="27" spans="1:10" x14ac:dyDescent="0.35">
      <c r="A27" t="s">
        <v>65</v>
      </c>
      <c r="B27" t="s">
        <v>66</v>
      </c>
      <c r="C27" t="s">
        <v>32</v>
      </c>
      <c r="D27" t="s">
        <v>12</v>
      </c>
      <c r="E27" s="4">
        <v>45396</v>
      </c>
      <c r="F27" t="s">
        <v>17</v>
      </c>
      <c r="G27">
        <v>5</v>
      </c>
      <c r="H27">
        <v>88</v>
      </c>
      <c r="I27">
        <v>440</v>
      </c>
      <c r="J27" t="s">
        <v>185</v>
      </c>
    </row>
    <row r="28" spans="1:10" x14ac:dyDescent="0.35">
      <c r="A28" t="s">
        <v>67</v>
      </c>
      <c r="B28" t="s">
        <v>68</v>
      </c>
      <c r="C28" t="s">
        <v>20</v>
      </c>
      <c r="D28" t="s">
        <v>12</v>
      </c>
      <c r="E28" s="4">
        <v>45599</v>
      </c>
      <c r="F28" t="s">
        <v>17</v>
      </c>
      <c r="G28">
        <v>4</v>
      </c>
      <c r="H28">
        <v>347</v>
      </c>
      <c r="I28">
        <v>1388</v>
      </c>
      <c r="J28" t="s">
        <v>180</v>
      </c>
    </row>
    <row r="29" spans="1:10" x14ac:dyDescent="0.35">
      <c r="A29" t="s">
        <v>69</v>
      </c>
      <c r="B29" t="s">
        <v>70</v>
      </c>
      <c r="C29" t="s">
        <v>20</v>
      </c>
      <c r="D29" t="s">
        <v>12</v>
      </c>
      <c r="E29" s="4">
        <v>45152</v>
      </c>
      <c r="F29" t="s">
        <v>38</v>
      </c>
      <c r="G29">
        <v>1</v>
      </c>
      <c r="H29">
        <v>343</v>
      </c>
      <c r="I29">
        <v>343</v>
      </c>
      <c r="J29" t="s">
        <v>190</v>
      </c>
    </row>
    <row r="30" spans="1:10" x14ac:dyDescent="0.35">
      <c r="A30" t="s">
        <v>71</v>
      </c>
      <c r="B30" t="s">
        <v>15</v>
      </c>
      <c r="C30" t="s">
        <v>20</v>
      </c>
      <c r="D30" t="s">
        <v>12</v>
      </c>
      <c r="E30" s="4">
        <v>45177</v>
      </c>
      <c r="F30" t="s">
        <v>17</v>
      </c>
      <c r="G30">
        <v>0</v>
      </c>
      <c r="H30">
        <v>359</v>
      </c>
      <c r="I30">
        <v>0</v>
      </c>
      <c r="J30" t="s">
        <v>182</v>
      </c>
    </row>
    <row r="31" spans="1:10" x14ac:dyDescent="0.35">
      <c r="A31" t="s">
        <v>72</v>
      </c>
      <c r="B31" t="s">
        <v>29</v>
      </c>
      <c r="C31" t="s">
        <v>20</v>
      </c>
      <c r="D31" t="s">
        <v>23</v>
      </c>
      <c r="E31" s="4">
        <v>45071</v>
      </c>
      <c r="F31" t="s">
        <v>17</v>
      </c>
      <c r="G31">
        <v>4</v>
      </c>
      <c r="H31">
        <v>342</v>
      </c>
      <c r="I31">
        <v>1368</v>
      </c>
      <c r="J31" t="s">
        <v>189</v>
      </c>
    </row>
    <row r="32" spans="1:10" x14ac:dyDescent="0.35">
      <c r="A32" t="s">
        <v>73</v>
      </c>
      <c r="B32" t="s">
        <v>25</v>
      </c>
      <c r="C32" t="s">
        <v>16</v>
      </c>
      <c r="D32" t="s">
        <v>12</v>
      </c>
      <c r="E32" s="4">
        <v>45359</v>
      </c>
      <c r="F32" t="s">
        <v>13</v>
      </c>
      <c r="G32">
        <v>8</v>
      </c>
      <c r="H32">
        <v>1196</v>
      </c>
      <c r="I32">
        <v>9568</v>
      </c>
      <c r="J32" t="s">
        <v>186</v>
      </c>
    </row>
    <row r="33" spans="1:10" x14ac:dyDescent="0.35">
      <c r="A33" t="s">
        <v>74</v>
      </c>
      <c r="B33" t="s">
        <v>75</v>
      </c>
      <c r="C33" t="s">
        <v>16</v>
      </c>
      <c r="D33" t="s">
        <v>23</v>
      </c>
      <c r="E33" s="4">
        <v>45505</v>
      </c>
      <c r="F33" t="s">
        <v>38</v>
      </c>
      <c r="G33">
        <v>10</v>
      </c>
      <c r="H33">
        <v>1205</v>
      </c>
      <c r="I33">
        <v>12050</v>
      </c>
      <c r="J33" t="s">
        <v>190</v>
      </c>
    </row>
    <row r="34" spans="1:10" x14ac:dyDescent="0.35">
      <c r="A34" t="s">
        <v>76</v>
      </c>
      <c r="B34" t="s">
        <v>27</v>
      </c>
      <c r="C34" t="s">
        <v>32</v>
      </c>
      <c r="D34" t="s">
        <v>23</v>
      </c>
      <c r="E34" s="4">
        <v>45632</v>
      </c>
      <c r="F34" t="s">
        <v>13</v>
      </c>
      <c r="G34">
        <v>0</v>
      </c>
      <c r="H34">
        <v>75</v>
      </c>
      <c r="I34">
        <v>0</v>
      </c>
      <c r="J34" t="s">
        <v>181</v>
      </c>
    </row>
    <row r="35" spans="1:10" x14ac:dyDescent="0.35">
      <c r="A35" t="s">
        <v>77</v>
      </c>
      <c r="B35" t="s">
        <v>64</v>
      </c>
      <c r="C35" t="s">
        <v>16</v>
      </c>
      <c r="D35" t="s">
        <v>23</v>
      </c>
      <c r="E35" s="4">
        <v>45118</v>
      </c>
      <c r="F35" t="s">
        <v>38</v>
      </c>
      <c r="G35">
        <v>7</v>
      </c>
      <c r="H35">
        <v>1192</v>
      </c>
      <c r="I35">
        <v>8344</v>
      </c>
      <c r="J35" t="s">
        <v>187</v>
      </c>
    </row>
    <row r="36" spans="1:10" x14ac:dyDescent="0.35">
      <c r="A36" t="s">
        <v>78</v>
      </c>
      <c r="B36" t="s">
        <v>79</v>
      </c>
      <c r="C36" t="s">
        <v>32</v>
      </c>
      <c r="D36" t="s">
        <v>12</v>
      </c>
      <c r="E36" s="4">
        <v>45233</v>
      </c>
      <c r="F36" t="s">
        <v>34</v>
      </c>
      <c r="G36">
        <v>3</v>
      </c>
      <c r="H36">
        <v>90</v>
      </c>
      <c r="I36">
        <v>270</v>
      </c>
      <c r="J36" t="s">
        <v>180</v>
      </c>
    </row>
    <row r="37" spans="1:10" x14ac:dyDescent="0.35">
      <c r="A37" t="s">
        <v>80</v>
      </c>
      <c r="B37" t="s">
        <v>42</v>
      </c>
      <c r="C37" t="s">
        <v>32</v>
      </c>
      <c r="D37" t="s">
        <v>12</v>
      </c>
      <c r="E37" s="4">
        <v>45219</v>
      </c>
      <c r="F37" t="s">
        <v>34</v>
      </c>
      <c r="G37">
        <v>0</v>
      </c>
      <c r="H37">
        <v>75</v>
      </c>
      <c r="I37">
        <v>0</v>
      </c>
      <c r="J37" t="s">
        <v>191</v>
      </c>
    </row>
    <row r="38" spans="1:10" x14ac:dyDescent="0.35">
      <c r="A38" t="s">
        <v>81</v>
      </c>
      <c r="B38" t="s">
        <v>46</v>
      </c>
      <c r="C38" t="s">
        <v>16</v>
      </c>
      <c r="D38" t="s">
        <v>12</v>
      </c>
      <c r="E38" s="4">
        <v>45345</v>
      </c>
      <c r="F38" t="s">
        <v>13</v>
      </c>
      <c r="G38">
        <v>1</v>
      </c>
      <c r="H38">
        <v>1203</v>
      </c>
      <c r="I38">
        <v>1203</v>
      </c>
      <c r="J38" t="s">
        <v>188</v>
      </c>
    </row>
    <row r="39" spans="1:10" x14ac:dyDescent="0.35">
      <c r="A39" t="s">
        <v>82</v>
      </c>
      <c r="B39" t="s">
        <v>83</v>
      </c>
      <c r="C39" t="s">
        <v>20</v>
      </c>
      <c r="D39" t="s">
        <v>23</v>
      </c>
      <c r="E39" s="4">
        <v>45336</v>
      </c>
      <c r="F39" t="s">
        <v>34</v>
      </c>
      <c r="G39">
        <v>5</v>
      </c>
      <c r="H39">
        <v>357</v>
      </c>
      <c r="I39">
        <v>1785</v>
      </c>
      <c r="J39" t="s">
        <v>188</v>
      </c>
    </row>
    <row r="40" spans="1:10" x14ac:dyDescent="0.35">
      <c r="A40" t="s">
        <v>84</v>
      </c>
      <c r="B40" t="s">
        <v>85</v>
      </c>
      <c r="C40" t="s">
        <v>32</v>
      </c>
      <c r="D40" t="s">
        <v>23</v>
      </c>
      <c r="E40" s="4">
        <v>45043</v>
      </c>
      <c r="F40" t="s">
        <v>38</v>
      </c>
      <c r="G40">
        <v>6</v>
      </c>
      <c r="H40">
        <v>85</v>
      </c>
      <c r="I40">
        <v>510</v>
      </c>
      <c r="J40" t="s">
        <v>185</v>
      </c>
    </row>
    <row r="41" spans="1:10" x14ac:dyDescent="0.35">
      <c r="A41" t="s">
        <v>86</v>
      </c>
      <c r="B41" t="s">
        <v>87</v>
      </c>
      <c r="C41" t="s">
        <v>32</v>
      </c>
      <c r="D41" t="s">
        <v>23</v>
      </c>
      <c r="E41" s="4">
        <v>45588</v>
      </c>
      <c r="F41" t="s">
        <v>34</v>
      </c>
      <c r="G41">
        <v>8</v>
      </c>
      <c r="H41">
        <v>82</v>
      </c>
      <c r="I41">
        <v>656</v>
      </c>
      <c r="J41" t="s">
        <v>191</v>
      </c>
    </row>
    <row r="42" spans="1:10" x14ac:dyDescent="0.35">
      <c r="A42" t="s">
        <v>88</v>
      </c>
      <c r="B42" t="s">
        <v>85</v>
      </c>
      <c r="C42" t="s">
        <v>32</v>
      </c>
      <c r="D42" t="s">
        <v>12</v>
      </c>
      <c r="E42" s="4">
        <v>45130</v>
      </c>
      <c r="F42" t="s">
        <v>38</v>
      </c>
      <c r="G42">
        <v>9</v>
      </c>
      <c r="H42">
        <v>89</v>
      </c>
      <c r="I42">
        <v>801</v>
      </c>
      <c r="J42" t="s">
        <v>187</v>
      </c>
    </row>
    <row r="43" spans="1:10" x14ac:dyDescent="0.35">
      <c r="A43" t="s">
        <v>89</v>
      </c>
      <c r="B43" t="s">
        <v>66</v>
      </c>
      <c r="C43" t="s">
        <v>11</v>
      </c>
      <c r="D43" t="s">
        <v>23</v>
      </c>
      <c r="E43" s="4">
        <v>44981</v>
      </c>
      <c r="F43" t="s">
        <v>17</v>
      </c>
      <c r="G43">
        <v>9</v>
      </c>
      <c r="H43">
        <v>18</v>
      </c>
      <c r="I43">
        <v>162</v>
      </c>
      <c r="J43" t="s">
        <v>188</v>
      </c>
    </row>
    <row r="44" spans="1:10" x14ac:dyDescent="0.35">
      <c r="A44" t="s">
        <v>90</v>
      </c>
      <c r="B44" t="s">
        <v>27</v>
      </c>
      <c r="C44" t="s">
        <v>16</v>
      </c>
      <c r="D44" t="s">
        <v>12</v>
      </c>
      <c r="E44" s="4">
        <v>45048</v>
      </c>
      <c r="F44" t="s">
        <v>34</v>
      </c>
      <c r="G44">
        <v>2</v>
      </c>
      <c r="H44">
        <v>1208</v>
      </c>
      <c r="I44">
        <v>2416</v>
      </c>
      <c r="J44" t="s">
        <v>189</v>
      </c>
    </row>
    <row r="45" spans="1:10" x14ac:dyDescent="0.35">
      <c r="A45" t="s">
        <v>91</v>
      </c>
      <c r="B45" t="s">
        <v>92</v>
      </c>
      <c r="C45" t="s">
        <v>16</v>
      </c>
      <c r="D45" t="s">
        <v>23</v>
      </c>
      <c r="E45" s="4">
        <v>45142</v>
      </c>
      <c r="F45" t="s">
        <v>13</v>
      </c>
      <c r="G45">
        <v>5</v>
      </c>
      <c r="H45">
        <v>1197</v>
      </c>
      <c r="I45">
        <v>5985</v>
      </c>
      <c r="J45" t="s">
        <v>190</v>
      </c>
    </row>
    <row r="46" spans="1:10" x14ac:dyDescent="0.35">
      <c r="A46" t="s">
        <v>93</v>
      </c>
      <c r="B46" t="s">
        <v>64</v>
      </c>
      <c r="C46" t="s">
        <v>11</v>
      </c>
      <c r="D46" t="s">
        <v>23</v>
      </c>
      <c r="E46" s="4">
        <v>45519</v>
      </c>
      <c r="F46" t="s">
        <v>38</v>
      </c>
      <c r="G46">
        <v>10</v>
      </c>
      <c r="H46">
        <v>0</v>
      </c>
      <c r="I46">
        <v>0</v>
      </c>
      <c r="J46" t="s">
        <v>190</v>
      </c>
    </row>
    <row r="47" spans="1:10" x14ac:dyDescent="0.35">
      <c r="A47" t="s">
        <v>94</v>
      </c>
      <c r="B47" t="s">
        <v>42</v>
      </c>
      <c r="C47" t="s">
        <v>16</v>
      </c>
      <c r="D47" t="s">
        <v>12</v>
      </c>
      <c r="E47" s="4">
        <v>45022</v>
      </c>
      <c r="F47" t="s">
        <v>38</v>
      </c>
      <c r="G47">
        <v>5</v>
      </c>
      <c r="H47">
        <v>1204</v>
      </c>
      <c r="I47">
        <v>6020</v>
      </c>
      <c r="J47" t="s">
        <v>185</v>
      </c>
    </row>
    <row r="48" spans="1:10" x14ac:dyDescent="0.35">
      <c r="A48" t="s">
        <v>95</v>
      </c>
      <c r="B48" t="s">
        <v>42</v>
      </c>
      <c r="C48" t="s">
        <v>11</v>
      </c>
      <c r="D48" t="s">
        <v>23</v>
      </c>
      <c r="E48" s="4">
        <v>44975</v>
      </c>
      <c r="F48" t="s">
        <v>34</v>
      </c>
      <c r="G48">
        <v>5</v>
      </c>
      <c r="H48">
        <v>33</v>
      </c>
      <c r="I48">
        <v>165</v>
      </c>
      <c r="J48" t="s">
        <v>188</v>
      </c>
    </row>
    <row r="49" spans="1:10" x14ac:dyDescent="0.35">
      <c r="A49" t="s">
        <v>96</v>
      </c>
      <c r="B49" t="s">
        <v>92</v>
      </c>
      <c r="C49" t="s">
        <v>20</v>
      </c>
      <c r="D49" t="s">
        <v>23</v>
      </c>
      <c r="E49" s="4">
        <v>45553</v>
      </c>
      <c r="F49" t="s">
        <v>38</v>
      </c>
      <c r="G49">
        <v>1</v>
      </c>
      <c r="H49">
        <v>358</v>
      </c>
      <c r="I49">
        <v>358</v>
      </c>
      <c r="J49" t="s">
        <v>182</v>
      </c>
    </row>
    <row r="50" spans="1:10" x14ac:dyDescent="0.35">
      <c r="A50" t="s">
        <v>97</v>
      </c>
      <c r="B50" t="s">
        <v>98</v>
      </c>
      <c r="C50" t="s">
        <v>11</v>
      </c>
      <c r="D50" t="s">
        <v>23</v>
      </c>
      <c r="E50" s="4">
        <v>45556</v>
      </c>
      <c r="F50" t="s">
        <v>34</v>
      </c>
      <c r="G50">
        <v>0</v>
      </c>
      <c r="H50">
        <v>30</v>
      </c>
      <c r="I50">
        <v>0</v>
      </c>
      <c r="J50" t="s">
        <v>182</v>
      </c>
    </row>
    <row r="51" spans="1:10" x14ac:dyDescent="0.35">
      <c r="A51" t="s">
        <v>99</v>
      </c>
      <c r="B51" t="s">
        <v>100</v>
      </c>
      <c r="C51" t="s">
        <v>16</v>
      </c>
      <c r="D51" t="s">
        <v>12</v>
      </c>
      <c r="E51" s="4">
        <v>45457</v>
      </c>
      <c r="F51" t="s">
        <v>13</v>
      </c>
      <c r="G51">
        <v>6</v>
      </c>
      <c r="H51">
        <v>1202</v>
      </c>
      <c r="I51">
        <v>7212</v>
      </c>
      <c r="J51" t="s">
        <v>183</v>
      </c>
    </row>
    <row r="52" spans="1:10" x14ac:dyDescent="0.35">
      <c r="A52" t="s">
        <v>101</v>
      </c>
      <c r="B52" t="s">
        <v>102</v>
      </c>
      <c r="C52" t="s">
        <v>32</v>
      </c>
      <c r="D52" t="s">
        <v>23</v>
      </c>
      <c r="E52" s="4">
        <v>45245</v>
      </c>
      <c r="F52" t="s">
        <v>17</v>
      </c>
      <c r="G52">
        <v>2</v>
      </c>
      <c r="H52">
        <v>95</v>
      </c>
      <c r="I52">
        <v>190</v>
      </c>
      <c r="J52" t="s">
        <v>180</v>
      </c>
    </row>
    <row r="53" spans="1:10" x14ac:dyDescent="0.35">
      <c r="A53" t="s">
        <v>103</v>
      </c>
      <c r="B53" t="s">
        <v>70</v>
      </c>
      <c r="C53" t="s">
        <v>20</v>
      </c>
      <c r="D53" t="s">
        <v>12</v>
      </c>
      <c r="E53" s="4">
        <v>45043</v>
      </c>
      <c r="F53" t="s">
        <v>34</v>
      </c>
      <c r="G53">
        <v>9</v>
      </c>
      <c r="H53">
        <v>353</v>
      </c>
      <c r="I53">
        <v>3177</v>
      </c>
      <c r="J53" t="s">
        <v>185</v>
      </c>
    </row>
    <row r="54" spans="1:10" x14ac:dyDescent="0.35">
      <c r="A54" t="s">
        <v>104</v>
      </c>
      <c r="B54" t="s">
        <v>85</v>
      </c>
      <c r="C54" t="s">
        <v>20</v>
      </c>
      <c r="D54" t="s">
        <v>12</v>
      </c>
      <c r="E54" s="4">
        <v>45216</v>
      </c>
      <c r="F54" t="s">
        <v>17</v>
      </c>
      <c r="G54">
        <v>6</v>
      </c>
      <c r="H54">
        <v>0</v>
      </c>
      <c r="I54">
        <v>0</v>
      </c>
      <c r="J54" t="s">
        <v>191</v>
      </c>
    </row>
    <row r="55" spans="1:10" x14ac:dyDescent="0.35">
      <c r="A55" t="s">
        <v>105</v>
      </c>
      <c r="B55" t="s">
        <v>19</v>
      </c>
      <c r="C55" t="s">
        <v>20</v>
      </c>
      <c r="D55" t="s">
        <v>12</v>
      </c>
      <c r="E55" s="4">
        <v>45522</v>
      </c>
      <c r="F55" t="s">
        <v>38</v>
      </c>
      <c r="G55">
        <v>4</v>
      </c>
      <c r="H55">
        <v>0</v>
      </c>
      <c r="I55">
        <v>0</v>
      </c>
      <c r="J55" t="s">
        <v>190</v>
      </c>
    </row>
    <row r="56" spans="1:10" x14ac:dyDescent="0.35">
      <c r="A56" t="s">
        <v>106</v>
      </c>
      <c r="B56" t="s">
        <v>107</v>
      </c>
      <c r="C56" t="s">
        <v>16</v>
      </c>
      <c r="D56" t="s">
        <v>23</v>
      </c>
      <c r="E56" s="4">
        <v>45642</v>
      </c>
      <c r="F56" t="s">
        <v>34</v>
      </c>
      <c r="G56">
        <v>9</v>
      </c>
      <c r="H56">
        <v>0</v>
      </c>
      <c r="I56">
        <v>0</v>
      </c>
      <c r="J56" t="s">
        <v>181</v>
      </c>
    </row>
    <row r="57" spans="1:10" x14ac:dyDescent="0.35">
      <c r="A57" t="s">
        <v>108</v>
      </c>
      <c r="B57" t="s">
        <v>83</v>
      </c>
      <c r="C57" t="s">
        <v>20</v>
      </c>
      <c r="D57" t="s">
        <v>12</v>
      </c>
      <c r="E57" s="4">
        <v>45184</v>
      </c>
      <c r="F57" t="s">
        <v>38</v>
      </c>
      <c r="G57">
        <v>2</v>
      </c>
      <c r="H57">
        <v>348</v>
      </c>
      <c r="I57">
        <v>696</v>
      </c>
      <c r="J57" t="s">
        <v>182</v>
      </c>
    </row>
    <row r="58" spans="1:10" x14ac:dyDescent="0.35">
      <c r="A58" t="s">
        <v>109</v>
      </c>
      <c r="B58" t="s">
        <v>110</v>
      </c>
      <c r="C58" t="s">
        <v>20</v>
      </c>
      <c r="D58" t="s">
        <v>23</v>
      </c>
      <c r="E58" s="4">
        <v>45619</v>
      </c>
      <c r="F58" t="s">
        <v>13</v>
      </c>
      <c r="G58">
        <v>5</v>
      </c>
      <c r="H58">
        <v>0</v>
      </c>
      <c r="I58">
        <v>0</v>
      </c>
      <c r="J58" t="s">
        <v>180</v>
      </c>
    </row>
    <row r="59" spans="1:10" x14ac:dyDescent="0.35">
      <c r="A59" t="s">
        <v>111</v>
      </c>
      <c r="B59" t="s">
        <v>64</v>
      </c>
      <c r="C59" t="s">
        <v>16</v>
      </c>
      <c r="D59" t="s">
        <v>23</v>
      </c>
      <c r="E59" s="4">
        <v>45374</v>
      </c>
      <c r="F59" t="s">
        <v>13</v>
      </c>
      <c r="G59">
        <v>6</v>
      </c>
      <c r="H59">
        <v>1194</v>
      </c>
      <c r="I59">
        <v>7164</v>
      </c>
      <c r="J59" t="s">
        <v>186</v>
      </c>
    </row>
    <row r="60" spans="1:10" x14ac:dyDescent="0.35">
      <c r="A60" t="s">
        <v>112</v>
      </c>
      <c r="B60" t="s">
        <v>107</v>
      </c>
      <c r="C60" t="s">
        <v>11</v>
      </c>
      <c r="D60" t="s">
        <v>12</v>
      </c>
      <c r="E60" s="4">
        <v>45342</v>
      </c>
      <c r="F60" t="s">
        <v>34</v>
      </c>
      <c r="G60">
        <v>8</v>
      </c>
      <c r="H60">
        <v>15</v>
      </c>
      <c r="I60">
        <v>120</v>
      </c>
      <c r="J60" t="s">
        <v>188</v>
      </c>
    </row>
    <row r="61" spans="1:10" x14ac:dyDescent="0.35">
      <c r="A61" t="s">
        <v>113</v>
      </c>
      <c r="B61" t="s">
        <v>114</v>
      </c>
      <c r="C61" t="s">
        <v>20</v>
      </c>
      <c r="D61" t="s">
        <v>23</v>
      </c>
      <c r="E61" s="4">
        <v>45575</v>
      </c>
      <c r="F61" t="s">
        <v>17</v>
      </c>
      <c r="G61">
        <v>8</v>
      </c>
      <c r="H61">
        <v>352</v>
      </c>
      <c r="I61">
        <v>2816</v>
      </c>
      <c r="J61" t="s">
        <v>191</v>
      </c>
    </row>
    <row r="62" spans="1:10" x14ac:dyDescent="0.35">
      <c r="A62" t="s">
        <v>115</v>
      </c>
      <c r="B62" t="s">
        <v>116</v>
      </c>
      <c r="C62" t="s">
        <v>32</v>
      </c>
      <c r="D62" t="s">
        <v>12</v>
      </c>
      <c r="E62" s="4">
        <v>45609</v>
      </c>
      <c r="F62" t="s">
        <v>13</v>
      </c>
      <c r="G62">
        <v>0</v>
      </c>
      <c r="H62">
        <v>84</v>
      </c>
      <c r="I62">
        <v>0</v>
      </c>
      <c r="J62" t="s">
        <v>180</v>
      </c>
    </row>
    <row r="63" spans="1:10" x14ac:dyDescent="0.35">
      <c r="A63" t="s">
        <v>117</v>
      </c>
      <c r="B63" t="s">
        <v>118</v>
      </c>
      <c r="C63" t="s">
        <v>32</v>
      </c>
      <c r="D63" t="s">
        <v>12</v>
      </c>
      <c r="E63" s="4">
        <v>45234</v>
      </c>
      <c r="F63" t="s">
        <v>17</v>
      </c>
      <c r="G63">
        <v>5</v>
      </c>
      <c r="H63">
        <v>88</v>
      </c>
      <c r="I63">
        <v>440</v>
      </c>
      <c r="J63" t="s">
        <v>180</v>
      </c>
    </row>
    <row r="64" spans="1:10" x14ac:dyDescent="0.35">
      <c r="A64" t="s">
        <v>119</v>
      </c>
      <c r="B64" t="s">
        <v>58</v>
      </c>
      <c r="C64" t="s">
        <v>32</v>
      </c>
      <c r="D64" t="s">
        <v>23</v>
      </c>
      <c r="E64" s="4">
        <v>45360</v>
      </c>
      <c r="F64" t="s">
        <v>17</v>
      </c>
      <c r="G64">
        <v>2</v>
      </c>
      <c r="H64">
        <v>77</v>
      </c>
      <c r="I64">
        <v>154</v>
      </c>
      <c r="J64" t="s">
        <v>186</v>
      </c>
    </row>
    <row r="65" spans="1:10" x14ac:dyDescent="0.35">
      <c r="A65" t="s">
        <v>120</v>
      </c>
      <c r="B65" t="s">
        <v>58</v>
      </c>
      <c r="C65" t="s">
        <v>20</v>
      </c>
      <c r="D65" t="s">
        <v>23</v>
      </c>
      <c r="E65" s="4">
        <v>45348</v>
      </c>
      <c r="F65" t="s">
        <v>38</v>
      </c>
      <c r="G65">
        <v>5</v>
      </c>
      <c r="H65">
        <v>360</v>
      </c>
      <c r="I65">
        <v>1800</v>
      </c>
      <c r="J65" t="s">
        <v>188</v>
      </c>
    </row>
    <row r="66" spans="1:10" x14ac:dyDescent="0.35">
      <c r="A66" t="s">
        <v>121</v>
      </c>
      <c r="B66" t="s">
        <v>83</v>
      </c>
      <c r="C66" t="s">
        <v>32</v>
      </c>
      <c r="D66" t="s">
        <v>12</v>
      </c>
      <c r="E66" s="4">
        <v>45599</v>
      </c>
      <c r="F66" t="s">
        <v>17</v>
      </c>
      <c r="G66">
        <v>1</v>
      </c>
      <c r="H66">
        <v>0</v>
      </c>
      <c r="I66">
        <v>0</v>
      </c>
      <c r="J66" t="s">
        <v>180</v>
      </c>
    </row>
    <row r="67" spans="1:10" x14ac:dyDescent="0.35">
      <c r="A67" t="s">
        <v>122</v>
      </c>
      <c r="B67" t="s">
        <v>92</v>
      </c>
      <c r="C67" t="s">
        <v>11</v>
      </c>
      <c r="D67" t="s">
        <v>23</v>
      </c>
      <c r="E67" s="4">
        <v>45516</v>
      </c>
      <c r="F67" t="s">
        <v>38</v>
      </c>
      <c r="G67">
        <v>10</v>
      </c>
      <c r="H67">
        <v>23</v>
      </c>
      <c r="I67">
        <v>230</v>
      </c>
      <c r="J67" t="s">
        <v>190</v>
      </c>
    </row>
    <row r="68" spans="1:10" x14ac:dyDescent="0.35">
      <c r="A68" t="s">
        <v>123</v>
      </c>
      <c r="B68" t="s">
        <v>56</v>
      </c>
      <c r="C68" t="s">
        <v>11</v>
      </c>
      <c r="D68" t="s">
        <v>23</v>
      </c>
      <c r="E68" s="4">
        <v>45344</v>
      </c>
      <c r="F68" t="s">
        <v>17</v>
      </c>
      <c r="G68">
        <v>2</v>
      </c>
      <c r="H68">
        <v>0</v>
      </c>
      <c r="I68">
        <v>0</v>
      </c>
      <c r="J68" t="s">
        <v>188</v>
      </c>
    </row>
    <row r="69" spans="1:10" x14ac:dyDescent="0.35">
      <c r="A69" t="s">
        <v>124</v>
      </c>
      <c r="B69" t="s">
        <v>125</v>
      </c>
      <c r="C69" t="s">
        <v>16</v>
      </c>
      <c r="D69" t="s">
        <v>12</v>
      </c>
      <c r="E69" s="4">
        <v>45085</v>
      </c>
      <c r="F69" t="s">
        <v>34</v>
      </c>
      <c r="G69">
        <v>4</v>
      </c>
      <c r="H69">
        <v>1197</v>
      </c>
      <c r="I69">
        <v>4788</v>
      </c>
      <c r="J69" t="s">
        <v>183</v>
      </c>
    </row>
    <row r="70" spans="1:10" x14ac:dyDescent="0.35">
      <c r="A70" t="s">
        <v>126</v>
      </c>
      <c r="B70" t="s">
        <v>127</v>
      </c>
      <c r="C70" t="s">
        <v>32</v>
      </c>
      <c r="D70" t="s">
        <v>12</v>
      </c>
      <c r="E70" s="4">
        <v>45369</v>
      </c>
      <c r="F70" t="s">
        <v>13</v>
      </c>
      <c r="G70">
        <v>1</v>
      </c>
      <c r="H70">
        <v>82</v>
      </c>
      <c r="I70">
        <v>82</v>
      </c>
      <c r="J70" t="s">
        <v>186</v>
      </c>
    </row>
    <row r="71" spans="1:10" x14ac:dyDescent="0.35">
      <c r="A71" t="s">
        <v>128</v>
      </c>
      <c r="B71" t="s">
        <v>129</v>
      </c>
      <c r="C71" t="s">
        <v>20</v>
      </c>
      <c r="D71" t="s">
        <v>12</v>
      </c>
      <c r="E71" s="4">
        <v>45629</v>
      </c>
      <c r="F71" t="s">
        <v>13</v>
      </c>
      <c r="G71">
        <v>10</v>
      </c>
      <c r="H71">
        <v>356</v>
      </c>
      <c r="I71">
        <v>3560</v>
      </c>
      <c r="J71" t="s">
        <v>181</v>
      </c>
    </row>
    <row r="72" spans="1:10" x14ac:dyDescent="0.35">
      <c r="A72" t="s">
        <v>130</v>
      </c>
      <c r="B72" t="s">
        <v>92</v>
      </c>
      <c r="C72" t="s">
        <v>20</v>
      </c>
      <c r="D72" t="s">
        <v>23</v>
      </c>
      <c r="E72" s="4">
        <v>45129</v>
      </c>
      <c r="F72" t="s">
        <v>13</v>
      </c>
      <c r="G72">
        <v>3</v>
      </c>
      <c r="H72">
        <v>348</v>
      </c>
      <c r="I72">
        <v>1044</v>
      </c>
      <c r="J72" t="s">
        <v>187</v>
      </c>
    </row>
    <row r="73" spans="1:10" x14ac:dyDescent="0.35">
      <c r="A73" t="s">
        <v>131</v>
      </c>
      <c r="B73" t="s">
        <v>110</v>
      </c>
      <c r="C73" t="s">
        <v>32</v>
      </c>
      <c r="D73" t="s">
        <v>23</v>
      </c>
      <c r="E73" s="4">
        <v>45555</v>
      </c>
      <c r="F73" t="s">
        <v>34</v>
      </c>
      <c r="G73">
        <v>7</v>
      </c>
      <c r="H73">
        <v>89</v>
      </c>
      <c r="I73">
        <v>623</v>
      </c>
      <c r="J73" t="s">
        <v>182</v>
      </c>
    </row>
    <row r="74" spans="1:10" x14ac:dyDescent="0.35">
      <c r="A74" t="s">
        <v>132</v>
      </c>
      <c r="B74" t="s">
        <v>75</v>
      </c>
      <c r="C74" t="s">
        <v>32</v>
      </c>
      <c r="D74" t="s">
        <v>23</v>
      </c>
      <c r="E74" s="4">
        <v>45448</v>
      </c>
      <c r="F74" t="s">
        <v>13</v>
      </c>
      <c r="G74">
        <v>6</v>
      </c>
      <c r="H74">
        <v>92</v>
      </c>
      <c r="I74">
        <v>552</v>
      </c>
      <c r="J74" t="s">
        <v>183</v>
      </c>
    </row>
    <row r="75" spans="1:10" x14ac:dyDescent="0.35">
      <c r="A75" t="s">
        <v>133</v>
      </c>
      <c r="B75" t="s">
        <v>56</v>
      </c>
      <c r="C75" t="s">
        <v>20</v>
      </c>
      <c r="D75" t="s">
        <v>12</v>
      </c>
      <c r="E75" s="4">
        <v>45432</v>
      </c>
      <c r="F75" t="s">
        <v>34</v>
      </c>
      <c r="G75">
        <v>2</v>
      </c>
      <c r="H75">
        <v>357</v>
      </c>
      <c r="I75">
        <v>714</v>
      </c>
      <c r="J75" t="s">
        <v>189</v>
      </c>
    </row>
    <row r="76" spans="1:10" x14ac:dyDescent="0.35">
      <c r="A76" t="s">
        <v>134</v>
      </c>
      <c r="B76" t="s">
        <v>83</v>
      </c>
      <c r="C76" t="s">
        <v>20</v>
      </c>
      <c r="D76" t="s">
        <v>12</v>
      </c>
      <c r="E76" s="4">
        <v>45587</v>
      </c>
      <c r="F76" t="s">
        <v>17</v>
      </c>
      <c r="G76">
        <v>0</v>
      </c>
      <c r="H76">
        <v>345</v>
      </c>
      <c r="I76">
        <v>0</v>
      </c>
      <c r="J76" t="s">
        <v>191</v>
      </c>
    </row>
    <row r="77" spans="1:10" x14ac:dyDescent="0.35">
      <c r="A77" t="s">
        <v>135</v>
      </c>
      <c r="B77" t="s">
        <v>136</v>
      </c>
      <c r="C77" t="s">
        <v>16</v>
      </c>
      <c r="D77" t="s">
        <v>12</v>
      </c>
      <c r="E77" s="4">
        <v>45277</v>
      </c>
      <c r="F77" t="s">
        <v>34</v>
      </c>
      <c r="G77">
        <v>10</v>
      </c>
      <c r="H77">
        <v>1191</v>
      </c>
      <c r="I77">
        <v>11910</v>
      </c>
      <c r="J77" t="s">
        <v>181</v>
      </c>
    </row>
    <row r="78" spans="1:10" x14ac:dyDescent="0.35">
      <c r="A78" t="s">
        <v>137</v>
      </c>
      <c r="B78" t="s">
        <v>138</v>
      </c>
      <c r="C78" t="s">
        <v>16</v>
      </c>
      <c r="D78" t="s">
        <v>23</v>
      </c>
      <c r="E78" s="4">
        <v>45526</v>
      </c>
      <c r="F78" t="s">
        <v>17</v>
      </c>
      <c r="G78">
        <v>6</v>
      </c>
      <c r="H78">
        <v>1199</v>
      </c>
      <c r="I78">
        <v>7194</v>
      </c>
      <c r="J78" t="s">
        <v>190</v>
      </c>
    </row>
    <row r="79" spans="1:10" x14ac:dyDescent="0.35">
      <c r="A79" t="s">
        <v>139</v>
      </c>
      <c r="B79" t="s">
        <v>114</v>
      </c>
      <c r="C79" t="s">
        <v>16</v>
      </c>
      <c r="D79" t="s">
        <v>12</v>
      </c>
      <c r="E79" s="4">
        <v>45026</v>
      </c>
      <c r="F79" t="s">
        <v>17</v>
      </c>
      <c r="G79">
        <v>8</v>
      </c>
      <c r="H79">
        <v>1195</v>
      </c>
      <c r="I79">
        <v>9560</v>
      </c>
      <c r="J79" t="s">
        <v>185</v>
      </c>
    </row>
    <row r="80" spans="1:10" x14ac:dyDescent="0.35">
      <c r="A80" t="s">
        <v>140</v>
      </c>
      <c r="B80" t="s">
        <v>136</v>
      </c>
      <c r="C80" t="s">
        <v>32</v>
      </c>
      <c r="D80" t="s">
        <v>12</v>
      </c>
      <c r="E80" s="4">
        <v>45135</v>
      </c>
      <c r="F80" t="s">
        <v>13</v>
      </c>
      <c r="G80">
        <v>10</v>
      </c>
      <c r="H80">
        <v>95</v>
      </c>
      <c r="I80">
        <v>950</v>
      </c>
      <c r="J80" t="s">
        <v>187</v>
      </c>
    </row>
    <row r="81" spans="1:10" x14ac:dyDescent="0.35">
      <c r="A81" t="s">
        <v>141</v>
      </c>
      <c r="B81" t="s">
        <v>22</v>
      </c>
      <c r="C81" t="s">
        <v>32</v>
      </c>
      <c r="D81" t="s">
        <v>12</v>
      </c>
      <c r="E81" s="4">
        <v>45580</v>
      </c>
      <c r="F81" t="s">
        <v>34</v>
      </c>
      <c r="G81">
        <v>2</v>
      </c>
      <c r="H81">
        <v>84</v>
      </c>
      <c r="I81">
        <v>168</v>
      </c>
      <c r="J81" t="s">
        <v>191</v>
      </c>
    </row>
    <row r="82" spans="1:10" x14ac:dyDescent="0.35">
      <c r="A82" t="s">
        <v>142</v>
      </c>
      <c r="B82" t="s">
        <v>143</v>
      </c>
      <c r="C82" t="s">
        <v>16</v>
      </c>
      <c r="D82" t="s">
        <v>12</v>
      </c>
      <c r="E82" s="4">
        <v>45089</v>
      </c>
      <c r="F82" t="s">
        <v>34</v>
      </c>
      <c r="G82">
        <v>2</v>
      </c>
      <c r="H82">
        <v>1210</v>
      </c>
      <c r="I82">
        <v>2420</v>
      </c>
      <c r="J82" t="s">
        <v>183</v>
      </c>
    </row>
    <row r="83" spans="1:10" x14ac:dyDescent="0.35">
      <c r="A83" t="s">
        <v>144</v>
      </c>
      <c r="B83" t="s">
        <v>85</v>
      </c>
      <c r="C83" t="s">
        <v>20</v>
      </c>
      <c r="D83" t="s">
        <v>23</v>
      </c>
      <c r="E83" s="4">
        <v>45241</v>
      </c>
      <c r="F83" t="s">
        <v>17</v>
      </c>
      <c r="G83">
        <v>6</v>
      </c>
      <c r="H83">
        <v>349</v>
      </c>
      <c r="I83">
        <v>2094</v>
      </c>
      <c r="J83" t="s">
        <v>180</v>
      </c>
    </row>
    <row r="84" spans="1:10" x14ac:dyDescent="0.35">
      <c r="A84" t="s">
        <v>145</v>
      </c>
      <c r="B84" t="s">
        <v>85</v>
      </c>
      <c r="C84" t="s">
        <v>32</v>
      </c>
      <c r="D84" t="s">
        <v>12</v>
      </c>
      <c r="E84" s="4">
        <v>45258</v>
      </c>
      <c r="F84" t="s">
        <v>38</v>
      </c>
      <c r="G84">
        <v>1</v>
      </c>
      <c r="H84">
        <v>93</v>
      </c>
      <c r="I84">
        <v>93</v>
      </c>
      <c r="J84" t="s">
        <v>180</v>
      </c>
    </row>
    <row r="85" spans="1:10" x14ac:dyDescent="0.35">
      <c r="A85" t="s">
        <v>146</v>
      </c>
      <c r="B85" t="s">
        <v>118</v>
      </c>
      <c r="C85" t="s">
        <v>16</v>
      </c>
      <c r="D85" t="s">
        <v>23</v>
      </c>
      <c r="E85" s="4">
        <v>45348</v>
      </c>
      <c r="F85" t="s">
        <v>13</v>
      </c>
      <c r="G85">
        <v>4</v>
      </c>
      <c r="H85">
        <v>1204</v>
      </c>
      <c r="I85">
        <v>4816</v>
      </c>
      <c r="J85" t="s">
        <v>188</v>
      </c>
    </row>
    <row r="86" spans="1:10" x14ac:dyDescent="0.35">
      <c r="A86" t="s">
        <v>147</v>
      </c>
      <c r="B86" t="s">
        <v>148</v>
      </c>
      <c r="C86" t="s">
        <v>20</v>
      </c>
      <c r="D86" t="s">
        <v>23</v>
      </c>
      <c r="E86" s="4">
        <v>45250</v>
      </c>
      <c r="F86" t="s">
        <v>17</v>
      </c>
      <c r="G86">
        <v>7</v>
      </c>
      <c r="H86">
        <v>359</v>
      </c>
      <c r="I86">
        <v>2513</v>
      </c>
      <c r="J86" t="s">
        <v>180</v>
      </c>
    </row>
    <row r="87" spans="1:10" x14ac:dyDescent="0.35">
      <c r="A87" t="s">
        <v>149</v>
      </c>
      <c r="B87" t="s">
        <v>148</v>
      </c>
      <c r="C87" t="s">
        <v>32</v>
      </c>
      <c r="D87" t="s">
        <v>23</v>
      </c>
      <c r="E87" s="4">
        <v>45619</v>
      </c>
      <c r="F87" t="s">
        <v>13</v>
      </c>
      <c r="G87">
        <v>6</v>
      </c>
      <c r="H87">
        <v>91</v>
      </c>
      <c r="I87">
        <v>546</v>
      </c>
      <c r="J87" t="s">
        <v>180</v>
      </c>
    </row>
    <row r="88" spans="1:10" x14ac:dyDescent="0.35">
      <c r="A88" t="s">
        <v>150</v>
      </c>
      <c r="B88" t="s">
        <v>64</v>
      </c>
      <c r="C88" t="s">
        <v>32</v>
      </c>
      <c r="D88" t="s">
        <v>12</v>
      </c>
      <c r="E88" s="4">
        <v>45393</v>
      </c>
      <c r="F88" t="s">
        <v>34</v>
      </c>
      <c r="G88">
        <v>2</v>
      </c>
      <c r="H88">
        <v>92</v>
      </c>
      <c r="I88">
        <v>184</v>
      </c>
      <c r="J88" t="s">
        <v>185</v>
      </c>
    </row>
    <row r="89" spans="1:10" x14ac:dyDescent="0.35">
      <c r="A89" t="s">
        <v>151</v>
      </c>
      <c r="B89" t="s">
        <v>56</v>
      </c>
      <c r="C89" t="s">
        <v>11</v>
      </c>
      <c r="D89" t="s">
        <v>23</v>
      </c>
      <c r="E89" s="4">
        <v>44991</v>
      </c>
      <c r="F89" t="s">
        <v>34</v>
      </c>
      <c r="G89">
        <v>6</v>
      </c>
      <c r="H89">
        <v>22</v>
      </c>
      <c r="I89">
        <v>132</v>
      </c>
      <c r="J89" t="s">
        <v>186</v>
      </c>
    </row>
    <row r="90" spans="1:10" x14ac:dyDescent="0.35">
      <c r="A90" t="s">
        <v>152</v>
      </c>
      <c r="B90" t="s">
        <v>114</v>
      </c>
      <c r="C90" t="s">
        <v>11</v>
      </c>
      <c r="D90" t="s">
        <v>12</v>
      </c>
      <c r="E90" s="4">
        <v>45438</v>
      </c>
      <c r="F90" t="s">
        <v>34</v>
      </c>
      <c r="G90">
        <v>8</v>
      </c>
      <c r="H90">
        <v>24</v>
      </c>
      <c r="I90">
        <v>192</v>
      </c>
      <c r="J90" t="s">
        <v>189</v>
      </c>
    </row>
    <row r="91" spans="1:10" x14ac:dyDescent="0.35">
      <c r="A91" t="s">
        <v>153</v>
      </c>
      <c r="B91" t="s">
        <v>75</v>
      </c>
      <c r="C91" t="s">
        <v>11</v>
      </c>
      <c r="D91" t="s">
        <v>12</v>
      </c>
      <c r="E91" s="4">
        <v>45414</v>
      </c>
      <c r="F91" t="s">
        <v>13</v>
      </c>
      <c r="G91">
        <v>2</v>
      </c>
      <c r="H91">
        <v>20</v>
      </c>
      <c r="I91">
        <v>40</v>
      </c>
      <c r="J91" t="s">
        <v>189</v>
      </c>
    </row>
    <row r="92" spans="1:10" x14ac:dyDescent="0.35">
      <c r="A92" t="s">
        <v>154</v>
      </c>
      <c r="B92" t="s">
        <v>92</v>
      </c>
      <c r="C92" t="s">
        <v>11</v>
      </c>
      <c r="D92" t="s">
        <v>23</v>
      </c>
      <c r="E92" s="4">
        <v>45330</v>
      </c>
      <c r="F92" t="s">
        <v>13</v>
      </c>
      <c r="G92">
        <v>6</v>
      </c>
      <c r="H92">
        <v>17</v>
      </c>
      <c r="I92">
        <v>102</v>
      </c>
      <c r="J92" t="s">
        <v>188</v>
      </c>
    </row>
    <row r="93" spans="1:10" x14ac:dyDescent="0.35">
      <c r="A93" t="s">
        <v>155</v>
      </c>
      <c r="B93" t="s">
        <v>143</v>
      </c>
      <c r="C93" t="s">
        <v>32</v>
      </c>
      <c r="D93" t="s">
        <v>12</v>
      </c>
      <c r="E93" s="4">
        <v>45353</v>
      </c>
      <c r="F93" t="s">
        <v>38</v>
      </c>
      <c r="G93">
        <v>8</v>
      </c>
      <c r="H93">
        <v>75</v>
      </c>
      <c r="I93">
        <v>600</v>
      </c>
      <c r="J93" t="s">
        <v>186</v>
      </c>
    </row>
    <row r="94" spans="1:10" x14ac:dyDescent="0.35">
      <c r="A94" t="s">
        <v>156</v>
      </c>
      <c r="B94" t="s">
        <v>10</v>
      </c>
      <c r="C94" t="s">
        <v>20</v>
      </c>
      <c r="D94" t="s">
        <v>12</v>
      </c>
      <c r="E94" s="4">
        <v>45420</v>
      </c>
      <c r="F94" t="s">
        <v>38</v>
      </c>
      <c r="G94">
        <v>8</v>
      </c>
      <c r="H94">
        <v>340</v>
      </c>
      <c r="I94">
        <v>2720</v>
      </c>
      <c r="J94" t="s">
        <v>189</v>
      </c>
    </row>
    <row r="95" spans="1:10" x14ac:dyDescent="0.35">
      <c r="A95" t="s">
        <v>157</v>
      </c>
      <c r="B95" t="s">
        <v>70</v>
      </c>
      <c r="C95" t="s">
        <v>32</v>
      </c>
      <c r="D95" t="s">
        <v>12</v>
      </c>
      <c r="E95" s="4">
        <v>45213</v>
      </c>
      <c r="F95" t="s">
        <v>17</v>
      </c>
      <c r="G95">
        <v>9</v>
      </c>
      <c r="H95">
        <v>91</v>
      </c>
      <c r="I95">
        <v>819</v>
      </c>
      <c r="J95" t="s">
        <v>191</v>
      </c>
    </row>
    <row r="96" spans="1:10" x14ac:dyDescent="0.35">
      <c r="A96" t="s">
        <v>158</v>
      </c>
      <c r="B96" t="s">
        <v>159</v>
      </c>
      <c r="C96" t="s">
        <v>16</v>
      </c>
      <c r="D96" t="s">
        <v>23</v>
      </c>
      <c r="E96" s="4">
        <v>45086</v>
      </c>
      <c r="F96" t="s">
        <v>34</v>
      </c>
      <c r="G96">
        <v>10</v>
      </c>
      <c r="H96">
        <v>1200</v>
      </c>
      <c r="I96">
        <v>12000</v>
      </c>
      <c r="J96" t="s">
        <v>183</v>
      </c>
    </row>
    <row r="97" spans="1:10" x14ac:dyDescent="0.35">
      <c r="A97" t="s">
        <v>160</v>
      </c>
      <c r="B97" t="s">
        <v>48</v>
      </c>
      <c r="C97" t="s">
        <v>11</v>
      </c>
      <c r="D97" t="s">
        <v>23</v>
      </c>
      <c r="E97" s="4">
        <v>45276</v>
      </c>
      <c r="F97" t="s">
        <v>13</v>
      </c>
      <c r="G97">
        <v>1</v>
      </c>
      <c r="H97">
        <v>16</v>
      </c>
      <c r="I97">
        <v>16</v>
      </c>
      <c r="J97" t="s">
        <v>181</v>
      </c>
    </row>
    <row r="98" spans="1:10" x14ac:dyDescent="0.35">
      <c r="A98" t="s">
        <v>161</v>
      </c>
      <c r="B98" t="s">
        <v>37</v>
      </c>
      <c r="C98" t="s">
        <v>20</v>
      </c>
      <c r="D98" t="s">
        <v>23</v>
      </c>
      <c r="E98" s="4">
        <v>45048</v>
      </c>
      <c r="F98" t="s">
        <v>13</v>
      </c>
      <c r="G98">
        <v>2</v>
      </c>
      <c r="H98">
        <v>353</v>
      </c>
      <c r="I98">
        <v>706</v>
      </c>
      <c r="J98" t="s">
        <v>189</v>
      </c>
    </row>
    <row r="99" spans="1:10" x14ac:dyDescent="0.35">
      <c r="A99" t="s">
        <v>162</v>
      </c>
      <c r="B99" t="s">
        <v>29</v>
      </c>
      <c r="C99" t="s">
        <v>20</v>
      </c>
      <c r="D99" t="s">
        <v>23</v>
      </c>
      <c r="E99" s="4">
        <v>45367</v>
      </c>
      <c r="F99" t="s">
        <v>17</v>
      </c>
      <c r="G99">
        <v>2</v>
      </c>
      <c r="H99">
        <v>345</v>
      </c>
      <c r="I99">
        <v>690</v>
      </c>
      <c r="J99" t="s">
        <v>186</v>
      </c>
    </row>
    <row r="100" spans="1:10" x14ac:dyDescent="0.35">
      <c r="A100" t="s">
        <v>163</v>
      </c>
      <c r="B100" t="s">
        <v>62</v>
      </c>
      <c r="C100" t="s">
        <v>32</v>
      </c>
      <c r="D100" t="s">
        <v>23</v>
      </c>
      <c r="E100" s="4">
        <v>45524</v>
      </c>
      <c r="F100" t="s">
        <v>38</v>
      </c>
      <c r="G100">
        <v>6</v>
      </c>
      <c r="H100">
        <v>88</v>
      </c>
      <c r="I100">
        <v>528</v>
      </c>
      <c r="J100" t="s">
        <v>190</v>
      </c>
    </row>
    <row r="101" spans="1:10" x14ac:dyDescent="0.35">
      <c r="A101" t="s">
        <v>164</v>
      </c>
      <c r="B101" t="s">
        <v>19</v>
      </c>
      <c r="C101" t="s">
        <v>32</v>
      </c>
      <c r="D101" t="s">
        <v>12</v>
      </c>
      <c r="E101" s="4">
        <v>45296</v>
      </c>
      <c r="F101" t="s">
        <v>17</v>
      </c>
      <c r="G101">
        <v>1</v>
      </c>
      <c r="H101">
        <v>89</v>
      </c>
      <c r="I101">
        <v>89</v>
      </c>
      <c r="J101" t="s">
        <v>184</v>
      </c>
    </row>
    <row r="102" spans="1:10" x14ac:dyDescent="0.35">
      <c r="A102" t="s">
        <v>165</v>
      </c>
      <c r="B102" t="s">
        <v>166</v>
      </c>
      <c r="C102" t="s">
        <v>11</v>
      </c>
      <c r="D102" t="s">
        <v>23</v>
      </c>
      <c r="E102" s="4">
        <v>45484</v>
      </c>
      <c r="F102" t="s">
        <v>34</v>
      </c>
      <c r="G102">
        <v>9</v>
      </c>
      <c r="H102">
        <v>23</v>
      </c>
      <c r="I102">
        <v>207</v>
      </c>
      <c r="J102" t="s">
        <v>187</v>
      </c>
    </row>
    <row r="103" spans="1:10" x14ac:dyDescent="0.35">
      <c r="A103" t="s">
        <v>167</v>
      </c>
      <c r="B103" t="s">
        <v>168</v>
      </c>
      <c r="C103" t="s">
        <v>32</v>
      </c>
      <c r="D103" t="s">
        <v>23</v>
      </c>
      <c r="E103" s="4">
        <v>45020</v>
      </c>
      <c r="F103" t="s">
        <v>38</v>
      </c>
      <c r="G103">
        <v>2</v>
      </c>
      <c r="H103">
        <v>85</v>
      </c>
      <c r="I103">
        <v>170</v>
      </c>
      <c r="J103" t="s">
        <v>185</v>
      </c>
    </row>
    <row r="104" spans="1:10" x14ac:dyDescent="0.35">
      <c r="A104" t="s">
        <v>169</v>
      </c>
      <c r="B104" t="s">
        <v>83</v>
      </c>
      <c r="C104" t="s">
        <v>32</v>
      </c>
      <c r="D104" t="s">
        <v>12</v>
      </c>
      <c r="E104" s="4">
        <v>45283</v>
      </c>
      <c r="F104" t="s">
        <v>34</v>
      </c>
      <c r="G104">
        <v>3</v>
      </c>
      <c r="H104">
        <v>90</v>
      </c>
      <c r="I104">
        <v>270</v>
      </c>
      <c r="J104" t="s">
        <v>181</v>
      </c>
    </row>
    <row r="105" spans="1:10" x14ac:dyDescent="0.35">
      <c r="A105" t="s">
        <v>170</v>
      </c>
      <c r="B105" t="s">
        <v>56</v>
      </c>
      <c r="C105" t="s">
        <v>11</v>
      </c>
      <c r="D105" t="s">
        <v>12</v>
      </c>
      <c r="E105" s="4">
        <v>45332</v>
      </c>
      <c r="F105" t="s">
        <v>38</v>
      </c>
      <c r="G105">
        <v>10</v>
      </c>
      <c r="H105">
        <v>25</v>
      </c>
      <c r="I105">
        <v>250</v>
      </c>
      <c r="J105" t="s">
        <v>188</v>
      </c>
    </row>
    <row r="107" spans="1:10" x14ac:dyDescent="0.35">
      <c r="I107" t="e">
        <f>SUM(Total_sale)</f>
        <v>#NAME?</v>
      </c>
    </row>
    <row r="108" spans="1:10" x14ac:dyDescent="0.35">
      <c r="C108" t="e">
        <f>AVERAGE(I:I)</f>
        <v>#NAME?</v>
      </c>
      <c r="E108" t="e">
        <f>SUM(Total_Sales)</f>
        <v>#NAME?</v>
      </c>
    </row>
    <row r="109" spans="1:10" x14ac:dyDescent="0.35">
      <c r="E109" t="b">
        <f>E112=SUM(Raw_Sales_Data[Total_Sales])</f>
        <v>1</v>
      </c>
    </row>
    <row r="112" spans="1:10" x14ac:dyDescent="0.35">
      <c r="E112">
        <f>SUM(Raw_Sales_Data[Total_Sales])</f>
        <v>199277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2EF1-7BBA-41CE-8D35-B4289D83A61C}">
  <dimension ref="AA19"/>
  <sheetViews>
    <sheetView showGridLines="0" showRowColHeaders="0" tabSelected="1" topLeftCell="B1" zoomScale="68" zoomScaleNormal="56" workbookViewId="0">
      <selection activeCell="T41" sqref="T41"/>
    </sheetView>
  </sheetViews>
  <sheetFormatPr defaultRowHeight="14.5" x14ac:dyDescent="0.35"/>
  <sheetData>
    <row r="19" spans="27:27" x14ac:dyDescent="0.35">
      <c r="AA19" t="e" vm="2">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A31C0E2-224F-47D2-AA01-163FF106349F}">
  <ds:schemaRefs/>
</ds:datastoreItem>
</file>

<file path=customXml/itemProps2.xml><?xml version="1.0" encoding="utf-8"?>
<ds:datastoreItem xmlns:ds="http://schemas.openxmlformats.org/officeDocument/2006/customXml" ds:itemID="{B674E931-A225-410E-AA7B-CEFF8EC579EE}">
  <ds:schemaRefs/>
</ds:datastoreItem>
</file>

<file path=customXml/itemProps3.xml><?xml version="1.0" encoding="utf-8"?>
<ds:datastoreItem xmlns:ds="http://schemas.openxmlformats.org/officeDocument/2006/customXml" ds:itemID="{728071DC-B103-488B-9A69-265421C8E30E}">
  <ds:schemaRefs/>
</ds:datastoreItem>
</file>

<file path=customXml/itemProps4.xml><?xml version="1.0" encoding="utf-8"?>
<ds:datastoreItem xmlns:ds="http://schemas.openxmlformats.org/officeDocument/2006/customXml" ds:itemID="{50816BC4-F8EA-43F4-999E-068A68705E98}">
  <ds:schemaRefs/>
</ds:datastoreItem>
</file>

<file path=customXml/itemProps5.xml><?xml version="1.0" encoding="utf-8"?>
<ds:datastoreItem xmlns:ds="http://schemas.openxmlformats.org/officeDocument/2006/customXml" ds:itemID="{08B5BF75-5A73-4B5D-86B9-708195DCA5C3}">
  <ds:schemaRefs/>
</ds:datastoreItem>
</file>

<file path=customXml/itemProps6.xml><?xml version="1.0" encoding="utf-8"?>
<ds:datastoreItem xmlns:ds="http://schemas.openxmlformats.org/officeDocument/2006/customXml" ds:itemID="{001D8335-276C-49FD-AEAE-2BD7E62D985B}">
  <ds:schemaRefs/>
</ds:datastoreItem>
</file>

<file path=customXml/itemProps7.xml><?xml version="1.0" encoding="utf-8"?>
<ds:datastoreItem xmlns:ds="http://schemas.openxmlformats.org/officeDocument/2006/customXml" ds:itemID="{9D15D87E-AC7C-43F4-91A9-D09ECCC62C54}">
  <ds:schemaRefs/>
</ds:datastoreItem>
</file>

<file path=customXml/itemProps8.xml><?xml version="1.0" encoding="utf-8"?>
<ds:datastoreItem xmlns:ds="http://schemas.openxmlformats.org/officeDocument/2006/customXml" ds:itemID="{22576FF1-F8CE-4EDE-850C-20BF382095A6}">
  <ds:schemaRefs/>
</ds:datastoreItem>
</file>

<file path=customXml/itemProps9.xml><?xml version="1.0" encoding="utf-8"?>
<ds:datastoreItem xmlns:ds="http://schemas.openxmlformats.org/officeDocument/2006/customXml" ds:itemID="{D5AE787F-5763-4423-B100-7CA5D5FC49D0}">
  <ds:schemaRefs/>
</ds:datastoreItem>
</file>

<file path=customXml/itemProps10.xml><?xml version="1.0" encoding="utf-8"?>
<ds:datastoreItem xmlns:ds="http://schemas.openxmlformats.org/officeDocument/2006/customXml" ds:itemID="{013FE409-1069-4425-ACC4-143639BD4609}">
  <ds:schemaRefs/>
</ds:datastoreItem>
</file>

<file path=customXml/itemProps11.xml><?xml version="1.0" encoding="utf-8"?>
<ds:datastoreItem xmlns:ds="http://schemas.openxmlformats.org/officeDocument/2006/customXml" ds:itemID="{F26A48DA-C419-4C68-8FE9-31F713C99FB4}">
  <ds:schemaRefs>
    <ds:schemaRef ds:uri="http://schemas.microsoft.com/DataMashup"/>
  </ds:schemaRefs>
</ds:datastoreItem>
</file>

<file path=customXml/itemProps12.xml><?xml version="1.0" encoding="utf-8"?>
<ds:datastoreItem xmlns:ds="http://schemas.openxmlformats.org/officeDocument/2006/customXml" ds:itemID="{DCD52BB6-2538-43EC-8522-BB1191292439}">
  <ds:schemaRefs/>
</ds:datastoreItem>
</file>

<file path=customXml/itemProps13.xml><?xml version="1.0" encoding="utf-8"?>
<ds:datastoreItem xmlns:ds="http://schemas.openxmlformats.org/officeDocument/2006/customXml" ds:itemID="{BCEBAF54-C903-416A-B342-43B7F7A5BFD1}">
  <ds:schemaRefs/>
</ds:datastoreItem>
</file>

<file path=customXml/itemProps14.xml><?xml version="1.0" encoding="utf-8"?>
<ds:datastoreItem xmlns:ds="http://schemas.openxmlformats.org/officeDocument/2006/customXml" ds:itemID="{4CD389C5-7A67-4718-8F87-2E431E9BAB39}">
  <ds:schemaRefs/>
</ds:datastoreItem>
</file>

<file path=customXml/itemProps15.xml><?xml version="1.0" encoding="utf-8"?>
<ds:datastoreItem xmlns:ds="http://schemas.openxmlformats.org/officeDocument/2006/customXml" ds:itemID="{C00DDA2B-0B70-47F5-9D19-16EE170854B2}">
  <ds:schemaRefs/>
</ds:datastoreItem>
</file>

<file path=customXml/itemProps16.xml><?xml version="1.0" encoding="utf-8"?>
<ds:datastoreItem xmlns:ds="http://schemas.openxmlformats.org/officeDocument/2006/customXml" ds:itemID="{A1F58936-4645-48DB-A342-96600213E148}">
  <ds:schemaRefs/>
</ds:datastoreItem>
</file>

<file path=customXml/itemProps17.xml><?xml version="1.0" encoding="utf-8"?>
<ds:datastoreItem xmlns:ds="http://schemas.openxmlformats.org/officeDocument/2006/customXml" ds:itemID="{C9D9521C-F4C9-4DBE-9387-E23C2ADD5582}">
  <ds:schemaRefs/>
</ds:datastoreItem>
</file>

<file path=customXml/itemProps18.xml><?xml version="1.0" encoding="utf-8"?>
<ds:datastoreItem xmlns:ds="http://schemas.openxmlformats.org/officeDocument/2006/customXml" ds:itemID="{E7E38EFF-B7F2-4026-8236-5BD9DCEFF729}">
  <ds:schemaRefs/>
</ds:datastoreItem>
</file>

<file path=customXml/itemProps19.xml><?xml version="1.0" encoding="utf-8"?>
<ds:datastoreItem xmlns:ds="http://schemas.openxmlformats.org/officeDocument/2006/customXml" ds:itemID="{CCED0F4A-94E7-4379-A02B-5725A1F8007B}">
  <ds:schemaRefs/>
</ds:datastoreItem>
</file>

<file path=customXml/itemProps20.xml><?xml version="1.0" encoding="utf-8"?>
<ds:datastoreItem xmlns:ds="http://schemas.openxmlformats.org/officeDocument/2006/customXml" ds:itemID="{D69439FD-E57E-4CD3-AB52-3475EC0A7631}">
  <ds:schemaRefs/>
</ds:datastoreItem>
</file>

<file path=customXml/itemProps21.xml><?xml version="1.0" encoding="utf-8"?>
<ds:datastoreItem xmlns:ds="http://schemas.openxmlformats.org/officeDocument/2006/customXml" ds:itemID="{0D3C857C-0C67-4594-8166-4896828C1C44}">
  <ds:schemaRefs/>
</ds:datastoreItem>
</file>

<file path=customXml/itemProps22.xml><?xml version="1.0" encoding="utf-8"?>
<ds:datastoreItem xmlns:ds="http://schemas.openxmlformats.org/officeDocument/2006/customXml" ds:itemID="{5EA683E9-71F5-4925-9A24-E6C6256624AB}">
  <ds:schemaRefs/>
</ds:datastoreItem>
</file>

<file path=customXml/itemProps23.xml><?xml version="1.0" encoding="utf-8"?>
<ds:datastoreItem xmlns:ds="http://schemas.openxmlformats.org/officeDocument/2006/customXml" ds:itemID="{252A8132-9BCB-4C0F-A834-1D578ADC0BA2}">
  <ds:schemaRefs/>
</ds:datastoreItem>
</file>

<file path=customXml/itemProps24.xml><?xml version="1.0" encoding="utf-8"?>
<ds:datastoreItem xmlns:ds="http://schemas.openxmlformats.org/officeDocument/2006/customXml" ds:itemID="{DE5D819B-8871-42B4-82D8-A8C6F1D5D030}">
  <ds:schemaRefs/>
</ds:datastoreItem>
</file>

<file path=customXml/itemProps25.xml><?xml version="1.0" encoding="utf-8"?>
<ds:datastoreItem xmlns:ds="http://schemas.openxmlformats.org/officeDocument/2006/customXml" ds:itemID="{6675451E-D652-4C04-B214-E8083F0B3347}">
  <ds:schemaRefs/>
</ds:datastoreItem>
</file>

<file path=customXml/itemProps26.xml><?xml version="1.0" encoding="utf-8"?>
<ds:datastoreItem xmlns:ds="http://schemas.openxmlformats.org/officeDocument/2006/customXml" ds:itemID="{DD6DF95C-09B1-48AB-BF73-1C4EA8E98F5D}">
  <ds:schemaRefs/>
</ds:datastoreItem>
</file>

<file path=customXml/itemProps27.xml><?xml version="1.0" encoding="utf-8"?>
<ds:datastoreItem xmlns:ds="http://schemas.openxmlformats.org/officeDocument/2006/customXml" ds:itemID="{E424DC92-FD3F-4DEB-A72B-786DCA22C2E2}">
  <ds:schemaRefs/>
</ds:datastoreItem>
</file>

<file path=customXml/itemProps28.xml><?xml version="1.0" encoding="utf-8"?>
<ds:datastoreItem xmlns:ds="http://schemas.openxmlformats.org/officeDocument/2006/customXml" ds:itemID="{4D595E80-EADC-4785-B30B-9DACABC673D0}">
  <ds:schemaRefs/>
</ds:datastoreItem>
</file>

<file path=customXml/itemProps29.xml><?xml version="1.0" encoding="utf-8"?>
<ds:datastoreItem xmlns:ds="http://schemas.openxmlformats.org/officeDocument/2006/customXml" ds:itemID="{F165489A-8151-4609-A70E-8C3859BCD43F}">
  <ds:schemaRefs/>
</ds:datastoreItem>
</file>

<file path=customXml/itemProps30.xml><?xml version="1.0" encoding="utf-8"?>
<ds:datastoreItem xmlns:ds="http://schemas.openxmlformats.org/officeDocument/2006/customXml" ds:itemID="{EF038935-0A91-4538-99BC-6AFC9AF64F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mon</vt:lpstr>
      <vt:lpstr>regoin</vt:lpstr>
      <vt:lpstr>Raw_Sales_Data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Renad Al haddad</dc:creator>
  <cp:lastModifiedBy>Renad Al haddad</cp:lastModifiedBy>
  <dcterms:created xsi:type="dcterms:W3CDTF">2026-09-08T16:13:51Z</dcterms:created>
  <dcterms:modified xsi:type="dcterms:W3CDTF">2026-09-10T17:20:13Z</dcterms:modified>
</cp:coreProperties>
</file>